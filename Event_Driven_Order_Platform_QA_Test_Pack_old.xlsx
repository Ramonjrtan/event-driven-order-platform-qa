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32efcef14e4d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_Cases" sheetId="1" r:id="R195c6145d5814815"/>
    <x:sheet xmlns:r="http://schemas.openxmlformats.org/officeDocument/2006/relationships" name="Execution_Report" sheetId="2" r:id="R69973c2ce0644320"/>
    <x:sheet xmlns:r="http://schemas.openxmlformats.org/officeDocument/2006/relationships" name="Defect_Log" sheetId="3" r:id="Rfcfc913f2bcc4962"/>
    <x:sheet xmlns:r="http://schemas.openxmlformats.org/officeDocument/2006/relationships" name="RTM" sheetId="4" r:id="R4e615d1f254b4fbe"/>
    <x:sheet xmlns:r="http://schemas.openxmlformats.org/officeDocument/2006/relationships" name="Test_Data" sheetId="5" r:id="Rc23b2ef686604acf"/>
    <x:sheet xmlns:r="http://schemas.openxmlformats.org/officeDocument/2006/relationships" name="Automation_Map" sheetId="6" r:id="Re4d740ccea55499a"/>
    <x:sheet xmlns:r="http://schemas.openxmlformats.org/officeDocument/2006/relationships" name="Summary_Dashboard" sheetId="7" r:id="Rcd383f9b482345d4"/>
  </x:sheets>
  <x:definedNames>
    <x:definedName name="_xlnm._FilterDatabase" localSheetId="0" hidden="1">'Test_Cases'!$A$4:$N$35</x:definedName>
    <x:definedName name="_xlnm._FilterDatabase" localSheetId="1" hidden="1">'Execution_Report'!$A$3:$I$6</x:definedName>
    <x:definedName name="_xlnm._FilterDatabase" localSheetId="2" hidden="1">'Defect_Log'!$A$3:$J$5</x:definedName>
    <x:definedName name="_xlnm._FilterDatabase" localSheetId="3" hidden="1">'RTM'!$A$3:$F$8</x:definedName>
    <x:definedName name="_xlnm._FilterDatabase" localSheetId="4" hidden="1">'Test_Data'!$A$3:$D$9</x:definedName>
    <x:definedName name="_xlnm._FilterDatabase" localSheetId="5" hidden="1">'Automation_Map'!$A$3:$D$18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A4" authorId="0">
      <x:text>
        <x:r>
          <x:t>OpenMRS-inspired test case ID convention adapted for event-driven platform testing.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9">
    <x:font>
      <x:sz val="11"/>
      <x:color theme="1"/>
      <x:name val="Calibri"/>
      <x:family val="2"/>
      <x:scheme val="minor"/>
    </x:font>
    <x:font>
      <x:b/>
      <x:sz val="14"/>
      <x:color rgb="00FFFFFF"/>
      <x:name val="Calibri"/>
    </x:font>
    <x:font>
      <x:b/>
      <x:sz val="10"/>
      <x:color rgb="001F4E78"/>
      <x:name val="Calibri"/>
    </x:font>
    <x:font>
      <x:b/>
      <x:sz val="11"/>
      <x:color rgb="00FFFFFF"/>
      <x:name val="Calibri"/>
    </x:font>
    <x:font>
      <x:sz val="10"/>
      <x:color rgb="00000000"/>
      <x:name val="Calibri"/>
    </x:font>
    <x:font>
      <x:sz val="10"/>
      <x:color rgb="00008000"/>
      <x:name val="Calibri"/>
    </x:font>
    <x:font>
      <x:sz val="10"/>
      <x:color rgb="000000FF"/>
      <x:name val="Calibri"/>
    </x:font>
    <x:font>
      <x:sz val="10"/>
      <x:color rgb="00666666"/>
      <x:name val="Calibri"/>
    </x:font>
    <x:font>
      <x:sz val="10"/>
      <x:color rgb="00C65911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AF3FB"/>
      </x:patternFill>
    </x:fill>
    <x:fill>
      <x:patternFill patternType="solid">
        <x:fgColor rgb="00FCE4D6"/>
      </x:patternFill>
    </x:fill>
    <x:fill>
      <x:patternFill patternType="solid">
        <x:fgColor rgb="00E2F0D9"/>
      </x:patternFill>
    </x:fill>
    <x:fill>
      <x:patternFill patternType="solid">
        <x:fgColor rgb="00E7E6E6"/>
      </x:patternFill>
    </x:fill>
    <x:fill>
      <x:patternFill patternType="solid">
        <x:fgColor rgb="00FDE9E7"/>
      </x:patternFill>
    </x:fill>
    <x:fill>
      <x:patternFill patternType="solid">
        <x:fgColor rgb="00EDE7F6"/>
      </x:patternFill>
    </x:fill>
    <x:fill>
      <x:patternFill patternType="solid">
        <x:fgColor rgb="00D9EAF7"/>
      </x:patternFill>
    </x:fill>
    <x:fill>
      <x:patternFill patternType="solid">
        <x:fgColor rgb="00FFFFFF"/>
      </x:patternFill>
    </x:fill>
  </x:fills>
  <x:borders count="2">
    <x:border>
      <x:left/>
      <x:right/>
      <x:top/>
      <x:bottom/>
      <x:diagonal/>
    </x:border>
    <x:border>
      <x:left style="thin">
        <x:color rgb="00B4C7E7"/>
      </x:left>
      <x:right style="thin">
        <x:color rgb="00B4C7E7"/>
      </x:right>
      <x:top style="thin">
        <x:color rgb="00B4C7E7"/>
      </x:top>
      <x:bottom style="thin">
        <x:color rgb="00B4C7E7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0" xfId="0" applyAlignment="1">
      <x:alignment horizontal="center"/>
    </x:xf>
    <x:xf numFmtId="0" fontId="2" fillId="3" borderId="0" xfId="0" applyAlignment="1">
      <x:alignment wrapText="1"/>
    </x:xf>
    <x:xf numFmtId="0" fontId="3" fillId="2" borderId="1" xfId="0" applyAlignment="1">
      <x:alignment horizontal="center" vertical="center" wrapText="1"/>
    </x:xf>
    <x:xf numFmtId="0" fontId="5" fillId="0" borderId="1" xfId="0" applyAlignment="1">
      <x:alignment vertical="top" wrapText="1"/>
    </x:xf>
    <x:xf numFmtId="0" fontId="4" fillId="0" borderId="1" xfId="0" applyAlignment="1">
      <x:alignment vertical="top" wrapText="1"/>
    </x:xf>
    <x:xf numFmtId="0" fontId="6" fillId="4" borderId="1" xfId="0" applyAlignment="1">
      <x:alignment vertical="top" wrapText="1"/>
    </x:xf>
    <x:xf numFmtId="0" fontId="7" fillId="5" borderId="1" xfId="0" applyAlignment="1">
      <x:alignment vertical="top" wrapText="1"/>
    </x:xf>
    <x:xf numFmtId="0" fontId="7" fillId="0" borderId="1" xfId="0" applyAlignment="1">
      <x:alignment vertical="top" wrapText="1"/>
    </x:xf>
    <x:xf numFmtId="0" fontId="8" fillId="6" borderId="1" xfId="0" applyAlignment="1">
      <x:alignment vertical="top" wrapText="1"/>
    </x:xf>
    <x:xf numFmtId="0" fontId="6" fillId="0" borderId="1" xfId="0" applyAlignment="1">
      <x:alignment vertical="top" wrapText="1"/>
    </x:xf>
    <x:xf numFmtId="0" fontId="7" fillId="7" borderId="1" xfId="0" applyAlignment="1">
      <x:alignment vertical="top" wrapText="1"/>
    </x:xf>
    <x:xf numFmtId="0" fontId="7" fillId="4" borderId="1" xfId="0" applyAlignment="1">
      <x:alignment vertical="top" wrapText="1"/>
    </x:xf>
    <x:xf numFmtId="0" fontId="7" fillId="8" borderId="1" xfId="0" applyAlignment="1">
      <x:alignment vertical="top" wrapText="1"/>
    </x:xf>
    <x:xf numFmtId="0" fontId="6" fillId="3" borderId="1" xfId="0" applyAlignment="1">
      <x:alignment vertical="top" wrapText="1"/>
    </x:xf>
    <x:xf numFmtId="0" fontId="1" fillId="2" borderId="0" xfId="0"/>
    <x:xf numFmtId="0" fontId="4" fillId="5" borderId="1" xfId="0" applyAlignment="1">
      <x:alignment vertical="top" wrapText="1"/>
    </x:xf>
    <x:xf numFmtId="0" fontId="4" fillId="7" borderId="1" xfId="0" applyAlignment="1">
      <x:alignment vertical="top" wrapText="1"/>
    </x:xf>
    <x:xf numFmtId="0" fontId="4" fillId="4" borderId="1" xfId="0" applyAlignment="1">
      <x:alignment vertical="top" wrapText="1"/>
    </x:xf>
    <x:xf numFmtId="0" fontId="2" fillId="9" borderId="0" xfId="0"/>
    <x:xf numFmtId="0" fontId="4" fillId="3" borderId="1" xfId="0"/>
    <x:xf numFmtId="0" fontId="4" fillId="10" borderId="1" xfId="0"/>
    <x:xf numFmtId="0" fontId="0" fillId="3" borderId="1" xfId="0"/>
    <x:xf numFmtId="0" fontId="0" fillId="0" borderId="1" xfId="0"/>
    <x:xf numFmtId="164" fontId="4" fillId="10" borderId="1" xfId="0"/>
    <x:xf numFmtId="0" fontId="7" fillId="6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c923d2c683424f" /><Relationship Type="http://schemas.openxmlformats.org/officeDocument/2006/relationships/theme" Target="/xl/theme/theme1.xml" Id="R0ab96cfaa3e246f9" /><Relationship Type="http://schemas.openxmlformats.org/officeDocument/2006/relationships/sharedStrings" Target="/xl/sharedStrings.xml" Id="R58a06a29cc21487e" /><Relationship Type="http://schemas.openxmlformats.org/officeDocument/2006/relationships/worksheet" Target="/xl/worksheets/sheet1.xml" Id="R195c6145d5814815" /><Relationship Type="http://schemas.openxmlformats.org/officeDocument/2006/relationships/worksheet" Target="/xl/worksheets/sheet2.xml" Id="R69973c2ce0644320" /><Relationship Type="http://schemas.openxmlformats.org/officeDocument/2006/relationships/worksheet" Target="/xl/worksheets/sheet3.xml" Id="Rfcfc913f2bcc4962" /><Relationship Type="http://schemas.openxmlformats.org/officeDocument/2006/relationships/worksheet" Target="/xl/worksheets/sheet4.xml" Id="R4e615d1f254b4fbe" /><Relationship Type="http://schemas.openxmlformats.org/officeDocument/2006/relationships/worksheet" Target="/xl/worksheets/sheet5.xml" Id="Rc23b2ef686604acf" /><Relationship Type="http://schemas.openxmlformats.org/officeDocument/2006/relationships/worksheet" Target="/xl/worksheets/sheet6.xml" Id="Re4d740ccea55499a" /><Relationship Type="http://schemas.openxmlformats.org/officeDocument/2006/relationships/worksheet" Target="/xl/worksheets/sheet7.xml" Id="Rcd383f9b482345d4" /><Relationship Type="http://schemas.microsoft.com/office/2017/10/relationships/person" Target="/xl/persons/person.xml" Id="Rcf724ef2178a48f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d05284df3a04285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Module Coverage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ser>
          <c:idx val="0"/>
          <c:order val="0"/>
          <c:spPr>
            <a:ln xmlns:a="http://schemas.openxmlformats.org/drawingml/2006/main">
              <a:prstDash val="solid"/>
            </a:ln>
          </c:spPr>
          <c:cat>
            <c:strRef>
              <c:f>'Summary_Dashboard'!$D$4:$D$9</c:f>
              <c:strCache>
                <c:ptCount val="0"/>
              </c:strCache>
            </c:strRef>
          </c:cat>
          <c:val>
            <c:numRef>
              <c:f>'Summary_Dashboard'!$E$4:$E$9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Module</a:t>
                </a:r>
              </a:p>
            </c:rich>
          </c:tx>
        </c:title>
        <c:numFmt formatCode="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Test Cases</a:t>
                </a:r>
              </a:p>
            </c:rich>
          </c:tx>
        </c:title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05284df3a04285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CD64D516-6D48-44B1-3B53-39E7E67E0FD1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db78b4bed1e42b2" /><Relationship Type="http://schemas.openxmlformats.org/officeDocument/2006/relationships/vmlDrawing" Target="/xl/drawings/vmldrawing.vml" Id="R038961f5673741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15aef468ca3848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8" customWidth="1"/>
    <x:col min="3" max="3" width="20" customWidth="1"/>
    <x:col min="4" max="4" width="36" customWidth="1"/>
    <x:col min="5" max="5" width="28" customWidth="1"/>
    <x:col min="6" max="6" width="38" customWidth="1"/>
    <x:col min="7" max="7" width="28" customWidth="1"/>
    <x:col min="8" max="8" width="40" customWidth="1"/>
    <x:col min="9" max="9" width="10" customWidth="1"/>
    <x:col min="10" max="10" width="11" customWidth="1"/>
    <x:col min="11" max="11" width="12" customWidth="1"/>
    <x:col min="12" max="12" width="12" customWidth="1"/>
    <x:col min="13" max="13" width="20" customWidth="1"/>
    <x:col min="14" max="14" width="18" customWidth="1"/>
  </x:cols>
  <x:sheetData>
    <x:row r="1">
      <x:c r="A1" s="1" t="inlineStr">
        <x:is>
          <x:t xml:space="preserve">Event-Driven Order Platform QA Test Pack</x:t>
        </x:is>
      </x:c>
    </x:row>
    <x:row r="2">
      <x:c r="A2" s="2" t="inlineStr">
        <x:is>
          <x:t xml:space="preserve">Manual test cases use an OpenMRS-inspired healthcare template structure adapted for asynchronous event-driven platform validation.</x:t>
        </x:is>
      </x:c>
    </x:row>
    <x:row r="4">
      <x:c r="A4" s="3" t="inlineStr">
        <x:is>
          <x:t xml:space="preserve">Test Case ID</x:t>
        </x:is>
      </x:c>
      <x:c r="B4" s="3" t="inlineStr">
        <x:is>
          <x:t xml:space="preserve">Module</x:t>
        </x:is>
      </x:c>
      <x:c r="C4" s="3" t="inlineStr">
        <x:is>
          <x:t xml:space="preserve">Feature</x:t>
        </x:is>
      </x:c>
      <x:c r="D4" s="3" t="inlineStr">
        <x:is>
          <x:t xml:space="preserve">Test Scenario</x:t>
        </x:is>
      </x:c>
      <x:c r="E4" s="3" t="inlineStr">
        <x:is>
          <x:t xml:space="preserve">Preconditions</x:t>
        </x:is>
      </x:c>
      <x:c r="F4" s="3" t="inlineStr">
        <x:is>
          <x:t xml:space="preserve">Test Steps</x:t>
        </x:is>
      </x:c>
      <x:c r="G4" s="3" t="inlineStr">
        <x:is>
          <x:t xml:space="preserve">Test Data</x:t>
        </x:is>
      </x:c>
      <x:c r="H4" s="3" t="inlineStr">
        <x:is>
          <x:t xml:space="preserve">Expected Result</x:t>
        </x:is>
      </x:c>
      <x:c r="I4" s="3" t="inlineStr">
        <x:is>
          <x:t xml:space="preserve">Priority</x:t>
        </x:is>
      </x:c>
      <x:c r="J4" s="3" t="inlineStr">
        <x:is>
          <x:t xml:space="preserve">Type</x:t>
        </x:is>
      </x:c>
      <x:c r="K4" s="3" t="inlineStr">
        <x:is>
          <x:t xml:space="preserve">Coverage</x:t>
        </x:is>
      </x:c>
      <x:c r="L4" s="3" t="inlineStr">
        <x:is>
          <x:t xml:space="preserve">Status</x:t>
        </x:is>
      </x:c>
      <x:c r="M4" s="3" t="inlineStr">
        <x:is>
          <x:t xml:space="preserve">Remarks</x:t>
        </x:is>
      </x:c>
      <x:c r="N4" s="3" t="inlineStr">
        <x:is>
          <x:t xml:space="preserve">Automation Candidate</x:t>
        </x:is>
      </x:c>
    </x:row>
    <x:row r="5">
      <x:c r="A5" s="4" t="inlineStr">
        <x:is>
          <x:t xml:space="preserve">EVT-ORD-001</x:t>
        </x:is>
      </x:c>
      <x:c r="B5" s="5" t="inlineStr">
        <x:is>
          <x:t xml:space="preserve">Order Service</x:t>
        </x:is>
      </x:c>
      <x:c r="C5" s="5" t="inlineStr">
        <x:is>
          <x:t xml:space="preserve">Create Order API</x:t>
        </x:is>
      </x:c>
      <x:c r="D5" s="5" t="inlineStr">
        <x:is>
          <x:t xml:space="preserve">Verify valid order creation publishes `order.created` event</x:t>
        </x:is>
      </x:c>
      <x:c r="E5" s="5" t="inlineStr">
        <x:is>
          <x:t xml:space="preserve">API available, topic active</x:t>
        </x:is>
      </x:c>
      <x:c r="F5" s="5" t="inlineStr">
        <x:is>
          <x:t xml:space="preserve">1. Send create order request
2. Check API response
3. Verify event published</x:t>
        </x:is>
      </x:c>
      <x:c r="G5" s="5" t="inlineStr">
        <x:is>
          <x:t xml:space="preserve">customerId=1001, itemId=SKU-001, qty=2</x:t>
        </x:is>
      </x:c>
      <x:c r="H5" s="5" t="inlineStr">
        <x:is>
          <x:t xml:space="preserve">Order created successfully and `order.created` event published with correct payload</x:t>
        </x:is>
      </x:c>
      <x:c r="I5" s="6" t="inlineStr">
        <x:is>
          <x:t xml:space="preserve">High</x:t>
        </x:is>
      </x:c>
      <x:c r="J5" s="7" t="inlineStr">
        <x:is>
          <x:t xml:space="preserve">Positive</x:t>
        </x:is>
      </x:c>
      <x:c r="K5" s="8" t="inlineStr">
        <x:is>
          <x:t xml:space="preserve">Manual</x:t>
        </x:is>
      </x:c>
      <x:c r="L5" s="9" t="inlineStr">
        <x:is>
          <x:t xml:space="preserve">Not Run</x:t>
        </x:is>
      </x:c>
      <x:c r="M5" s="5" t="inlineStr">
        <x:is>
          <x:t xml:space="preserve">Core happy path</x:t>
        </x:is>
      </x:c>
      <x:c r="N5" s="10" t="inlineStr">
        <x:is>
          <x:t xml:space="preserve">Yes</x:t>
        </x:is>
      </x:c>
    </x:row>
    <x:row r="6">
      <x:c r="A6" s="4" t="inlineStr">
        <x:is>
          <x:t xml:space="preserve">EVT-ORD-002</x:t>
        </x:is>
      </x:c>
      <x:c r="B6" s="5" t="inlineStr">
        <x:is>
          <x:t xml:space="preserve">Order Service</x:t>
        </x:is>
      </x:c>
      <x:c r="C6" s="5" t="inlineStr">
        <x:is>
          <x:t xml:space="preserve">Payload Validation</x:t>
        </x:is>
      </x:c>
      <x:c r="D6" s="5" t="inlineStr">
        <x:is>
          <x:t xml:space="preserve">Verify mandatory fields are required during order creation</x:t>
        </x:is>
      </x:c>
      <x:c r="E6" s="5" t="inlineStr">
        <x:is>
          <x:t xml:space="preserve">API available</x:t>
        </x:is>
      </x:c>
      <x:c r="F6" s="5" t="inlineStr">
        <x:is>
          <x:t xml:space="preserve">1. Send create order request without customerId</x:t>
        </x:is>
      </x:c>
      <x:c r="G6" s="5" t="inlineStr">
        <x:is>
          <x:t xml:space="preserve">itemId=SKU-001, qty=2</x:t>
        </x:is>
      </x:c>
      <x:c r="H6" s="5" t="inlineStr">
        <x:is>
          <x:t xml:space="preserve">API rejects request with validation error and no event is published</x:t>
        </x:is>
      </x:c>
      <x:c r="I6" s="6" t="inlineStr">
        <x:is>
          <x:t xml:space="preserve">High</x:t>
        </x:is>
      </x:c>
      <x:c r="J6" s="11" t="inlineStr">
        <x:is>
          <x:t xml:space="preserve">Negative</x:t>
        </x:is>
      </x:c>
      <x:c r="K6" s="8" t="inlineStr">
        <x:is>
          <x:t xml:space="preserve">Manual</x:t>
        </x:is>
      </x:c>
      <x:c r="L6" s="9" t="inlineStr">
        <x:is>
          <x:t xml:space="preserve">Not Run</x:t>
        </x:is>
      </x:c>
      <x:c r="M6" s="5" t="inlineStr">
        <x:is>
          <x:t xml:space="preserve">Mandatory validation</x:t>
        </x:is>
      </x:c>
      <x:c r="N6" s="8" t="inlineStr">
        <x:is>
          <x:t xml:space="preserve">No</x:t>
        </x:is>
      </x:c>
    </x:row>
    <x:row r="7">
      <x:c r="A7" s="4" t="inlineStr">
        <x:is>
          <x:t xml:space="preserve">EVT-ORD-003</x:t>
        </x:is>
      </x:c>
      <x:c r="B7" s="5" t="inlineStr">
        <x:is>
          <x:t xml:space="preserve">Order Service</x:t>
        </x:is>
      </x:c>
      <x:c r="C7" s="5" t="inlineStr">
        <x:is>
          <x:t xml:space="preserve">Correlation ID</x:t>
        </x:is>
      </x:c>
      <x:c r="D7" s="5" t="inlineStr">
        <x:is>
          <x:t xml:space="preserve">Verify created event contains correlation ID / order ID</x:t>
        </x:is>
      </x:c>
      <x:c r="E7" s="5" t="inlineStr">
        <x:is>
          <x:t xml:space="preserve">Order API working</x:t>
        </x:is>
      </x:c>
      <x:c r="F7" s="5" t="inlineStr">
        <x:is>
          <x:t xml:space="preserve">1. Create valid order
2. Inspect published event</x:t>
        </x:is>
      </x:c>
      <x:c r="G7" s="5" t="inlineStr">
        <x:is>
          <x:t xml:space="preserve">Valid request</x:t>
        </x:is>
      </x:c>
      <x:c r="H7" s="5" t="inlineStr">
        <x:is>
          <x:t xml:space="preserve">Event contains unique orderId and correlationId</x:t>
        </x:is>
      </x:c>
      <x:c r="I7" s="6" t="inlineStr">
        <x:is>
          <x:t xml:space="preserve">High</x:t>
        </x:is>
      </x:c>
      <x:c r="J7" s="7" t="inlineStr">
        <x:is>
          <x:t xml:space="preserve">Positive</x:t>
        </x:is>
      </x:c>
      <x:c r="K7" s="8" t="inlineStr">
        <x:is>
          <x:t xml:space="preserve">Manual</x:t>
        </x:is>
      </x:c>
      <x:c r="L7" s="9" t="inlineStr">
        <x:is>
          <x:t xml:space="preserve">Not Run</x:t>
        </x:is>
      </x:c>
      <x:c r="M7" s="5" t="inlineStr">
        <x:is>
          <x:t xml:space="preserve">Important for tracing</x:t>
        </x:is>
      </x:c>
      <x:c r="N7" s="8" t="inlineStr">
        <x:is>
          <x:t xml:space="preserve">No</x:t>
        </x:is>
      </x:c>
    </x:row>
    <x:row r="8">
      <x:c r="A8" s="4" t="inlineStr">
        <x:is>
          <x:t xml:space="preserve">EVT-ORD-004</x:t>
        </x:is>
      </x:c>
      <x:c r="B8" s="5" t="inlineStr">
        <x:is>
          <x:t xml:space="preserve">Order Service</x:t>
        </x:is>
      </x:c>
      <x:c r="C8" s="5" t="inlineStr">
        <x:is>
          <x:t xml:space="preserve">Duplicate Request</x:t>
        </x:is>
      </x:c>
      <x:c r="D8" s="5" t="inlineStr">
        <x:is>
          <x:t xml:space="preserve">Verify duplicate API submission does not create duplicate order processing</x:t>
        </x:is>
      </x:c>
      <x:c r="E8" s="5" t="inlineStr">
        <x:is>
          <x:t xml:space="preserve">Idempotency logic available or simulated</x:t>
        </x:is>
      </x:c>
      <x:c r="F8" s="5" t="inlineStr">
        <x:is>
          <x:t xml:space="preserve">1. Submit same order twice
2. Monitor events and final state</x:t>
        </x:is>
      </x:c>
      <x:c r="G8" s="5" t="inlineStr">
        <x:is>
          <x:t xml:space="preserve">Same payload twice</x:t>
        </x:is>
      </x:c>
      <x:c r="H8" s="5" t="inlineStr">
        <x:is>
          <x:t xml:space="preserve">System handles duplicate safely based on design; no duplicate downstream processing</x:t>
        </x:is>
      </x:c>
      <x:c r="I8" s="6" t="inlineStr">
        <x:is>
          <x:t xml:space="preserve">High</x:t>
        </x:is>
      </x:c>
      <x:c r="J8" s="12" t="inlineStr">
        <x:is>
          <x:t xml:space="preserve">Edge</x:t>
        </x:is>
      </x:c>
      <x:c r="K8" s="8" t="inlineStr">
        <x:is>
          <x:t xml:space="preserve">Manual</x:t>
        </x:is>
      </x:c>
      <x:c r="L8" s="9" t="inlineStr">
        <x:is>
          <x:t xml:space="preserve">Not Run</x:t>
        </x:is>
      </x:c>
      <x:c r="M8" s="5" t="inlineStr">
        <x:is>
          <x:t xml:space="preserve">Idempotency</x:t>
        </x:is>
      </x:c>
      <x:c r="N8" s="8" t="inlineStr">
        <x:is>
          <x:t xml:space="preserve">No</x:t>
        </x:is>
      </x:c>
    </x:row>
    <x:row r="9">
      <x:c r="A9" s="4" t="inlineStr">
        <x:is>
          <x:t xml:space="preserve">EVT-ORD-005</x:t>
        </x:is>
      </x:c>
      <x:c r="B9" s="5" t="inlineStr">
        <x:is>
          <x:t xml:space="preserve">Order Service</x:t>
        </x:is>
      </x:c>
      <x:c r="C9" s="5" t="inlineStr">
        <x:is>
          <x:t xml:space="preserve">Invalid Quantity</x:t>
        </x:is>
      </x:c>
      <x:c r="D9" s="5" t="inlineStr">
        <x:is>
          <x:t xml:space="preserve">Verify invalid quantity is rejected</x:t>
        </x:is>
      </x:c>
      <x:c r="E9" s="5" t="inlineStr">
        <x:is>
          <x:t xml:space="preserve">API available</x:t>
        </x:is>
      </x:c>
      <x:c r="F9" s="5" t="inlineStr">
        <x:is>
          <x:t xml:space="preserve">1. Submit order with qty=0</x:t>
        </x:is>
      </x:c>
      <x:c r="G9" s="5" t="inlineStr">
        <x:is>
          <x:t xml:space="preserve">qty=0</x:t>
        </x:is>
      </x:c>
      <x:c r="H9" s="5" t="inlineStr">
        <x:is>
          <x:t xml:space="preserve">Request rejected and no `order.created` event published</x:t>
        </x:is>
      </x:c>
      <x:c r="I9" s="6" t="inlineStr">
        <x:is>
          <x:t xml:space="preserve">High</x:t>
        </x:is>
      </x:c>
      <x:c r="J9" s="11" t="inlineStr">
        <x:is>
          <x:t xml:space="preserve">Negative</x:t>
        </x:is>
      </x:c>
      <x:c r="K9" s="8" t="inlineStr">
        <x:is>
          <x:t xml:space="preserve">Manual</x:t>
        </x:is>
      </x:c>
      <x:c r="L9" s="9" t="inlineStr">
        <x:is>
          <x:t xml:space="preserve">Not Run</x:t>
        </x:is>
      </x:c>
      <x:c r="M9" s="5" t="inlineStr">
        <x:is>
          <x:t xml:space="preserve">Input validation</x:t>
        </x:is>
      </x:c>
      <x:c r="N9" s="8" t="inlineStr">
        <x:is>
          <x:t xml:space="preserve">No</x:t>
        </x:is>
      </x:c>
    </x:row>
    <x:row r="10">
      <x:c r="A10" s="4" t="inlineStr">
        <x:is>
          <x:t xml:space="preserve">EVT-ORD-006</x:t>
        </x:is>
      </x:c>
      <x:c r="B10" s="5" t="inlineStr">
        <x:is>
          <x:t xml:space="preserve">Order Service</x:t>
        </x:is>
      </x:c>
      <x:c r="C10" s="5" t="inlineStr">
        <x:is>
          <x:t xml:space="preserve">Schema Validation</x:t>
        </x:is>
      </x:c>
      <x:c r="D10" s="5" t="inlineStr">
        <x:is>
          <x:t xml:space="preserve">Verify event payload structure matches expected contract</x:t>
        </x:is>
      </x:c>
      <x:c r="E10" s="5" t="inlineStr">
        <x:is>
          <x:t xml:space="preserve">Event contract defined</x:t>
        </x:is>
      </x:c>
      <x:c r="F10" s="5" t="inlineStr">
        <x:is>
          <x:t xml:space="preserve">1. Create valid order
2. Compare event payload to expected schema</x:t>
        </x:is>
      </x:c>
      <x:c r="G10" s="5" t="inlineStr">
        <x:is>
          <x:t xml:space="preserve">Valid request</x:t>
        </x:is>
      </x:c>
      <x:c r="H10" s="5" t="inlineStr">
        <x:is>
          <x:t xml:space="preserve">Event fields and data types match contract</x:t>
        </x:is>
      </x:c>
      <x:c r="I10" s="6" t="inlineStr">
        <x:is>
          <x:t xml:space="preserve">High</x:t>
        </x:is>
      </x:c>
      <x:c r="J10" s="7" t="inlineStr">
        <x:is>
          <x:t xml:space="preserve">Positive</x:t>
        </x:is>
      </x:c>
      <x:c r="K10" s="8" t="inlineStr">
        <x:is>
          <x:t xml:space="preserve">Manual</x:t>
        </x:is>
      </x:c>
      <x:c r="L10" s="9" t="inlineStr">
        <x:is>
          <x:t xml:space="preserve">Not Run</x:t>
        </x:is>
      </x:c>
      <x:c r="M10" s="5" t="inlineStr">
        <x:is>
          <x:t xml:space="preserve">Contract check</x:t>
        </x:is>
      </x:c>
      <x:c r="N10" s="8" t="inlineStr">
        <x:is>
          <x:t xml:space="preserve">No</x:t>
        </x:is>
      </x:c>
    </x:row>
    <x:row r="11">
      <x:c r="A11" s="4" t="inlineStr">
        <x:is>
          <x:t xml:space="preserve">EVT-PAY-001</x:t>
        </x:is>
      </x:c>
      <x:c r="B11" s="5" t="inlineStr">
        <x:is>
          <x:t xml:space="preserve">Payment Service</x:t>
        </x:is>
      </x:c>
      <x:c r="C11" s="5" t="inlineStr">
        <x:is>
          <x:t xml:space="preserve">Payment Authorization</x:t>
        </x:is>
      </x:c>
      <x:c r="D11" s="5" t="inlineStr">
        <x:is>
          <x:t xml:space="preserve">Verify `payment.authorized` is emitted after consuming `order.created`</x:t>
        </x:is>
      </x:c>
      <x:c r="E11" s="5" t="inlineStr">
        <x:is>
          <x:t xml:space="preserve">Valid order event exists</x:t>
        </x:is>
      </x:c>
      <x:c r="F11" s="5" t="inlineStr">
        <x:is>
          <x:t xml:space="preserve">1. Trigger valid order
2. Monitor payment processing</x:t>
        </x:is>
      </x:c>
      <x:c r="G11" s="5" t="inlineStr">
        <x:is>
          <x:t xml:space="preserve">valid card/payment method</x:t>
        </x:is>
      </x:c>
      <x:c r="H11" s="5" t="inlineStr">
        <x:is>
          <x:t xml:space="preserve">Payment service consumes event and emits `payment.authorized`</x:t>
        </x:is>
      </x:c>
      <x:c r="I11" s="6" t="inlineStr">
        <x:is>
          <x:t xml:space="preserve">High</x:t>
        </x:is>
      </x:c>
      <x:c r="J11" s="7" t="inlineStr">
        <x:is>
          <x:t xml:space="preserve">Positive</x:t>
        </x:is>
      </x:c>
      <x:c r="K11" s="8" t="inlineStr">
        <x:is>
          <x:t xml:space="preserve">Manual</x:t>
        </x:is>
      </x:c>
      <x:c r="L11" s="9" t="inlineStr">
        <x:is>
          <x:t xml:space="preserve">Not Run</x:t>
        </x:is>
      </x:c>
      <x:c r="M11" s="5" t="inlineStr">
        <x:is>
          <x:t xml:space="preserve">Happy path</x:t>
        </x:is>
      </x:c>
      <x:c r="N11" s="10" t="inlineStr">
        <x:is>
          <x:t xml:space="preserve">Yes</x:t>
        </x:is>
      </x:c>
    </x:row>
    <x:row r="12">
      <x:c r="A12" s="4" t="inlineStr">
        <x:is>
          <x:t xml:space="preserve">EVT-PAY-002</x:t>
        </x:is>
      </x:c>
      <x:c r="B12" s="5" t="inlineStr">
        <x:is>
          <x:t xml:space="preserve">Payment Service</x:t>
        </x:is>
      </x:c>
      <x:c r="C12" s="5" t="inlineStr">
        <x:is>
          <x:t xml:space="preserve">Payment Failure</x:t>
        </x:is>
      </x:c>
      <x:c r="D12" s="5" t="inlineStr">
        <x:is>
          <x:t xml:space="preserve">Verify declined payment emits `payment.failed`</x:t>
        </x:is>
      </x:c>
      <x:c r="E12" s="5" t="inlineStr">
        <x:is>
          <x:t xml:space="preserve">Payment simulation available</x:t>
        </x:is>
      </x:c>
      <x:c r="F12" s="5" t="inlineStr">
        <x:is>
          <x:t xml:space="preserve">1. Trigger order with declined payment data
2. Monitor events</x:t>
        </x:is>
      </x:c>
      <x:c r="G12" s="5" t="inlineStr">
        <x:is>
          <x:t xml:space="preserve">declined payment token</x:t>
        </x:is>
      </x:c>
      <x:c r="H12" s="5" t="inlineStr">
        <x:is>
          <x:t xml:space="preserve">`payment.failed` emitted and order marked failed/pending as per design</x:t>
        </x:is>
      </x:c>
      <x:c r="I12" s="6" t="inlineStr">
        <x:is>
          <x:t xml:space="preserve">High</x:t>
        </x:is>
      </x:c>
      <x:c r="J12" s="11" t="inlineStr">
        <x:is>
          <x:t xml:space="preserve">Negative</x:t>
        </x:is>
      </x:c>
      <x:c r="K12" s="8" t="inlineStr">
        <x:is>
          <x:t xml:space="preserve">Manual</x:t>
        </x:is>
      </x:c>
      <x:c r="L12" s="9" t="inlineStr">
        <x:is>
          <x:t xml:space="preserve">Not Run</x:t>
        </x:is>
      </x:c>
      <x:c r="M12" s="5" t="inlineStr">
        <x:is>
          <x:t xml:space="preserve">Failure path</x:t>
        </x:is>
      </x:c>
      <x:c r="N12" s="8" t="inlineStr">
        <x:is>
          <x:t xml:space="preserve">No</x:t>
        </x:is>
      </x:c>
    </x:row>
    <x:row r="13">
      <x:c r="A13" s="4" t="inlineStr">
        <x:is>
          <x:t xml:space="preserve">EVT-PAY-003</x:t>
        </x:is>
      </x:c>
      <x:c r="B13" s="5" t="inlineStr">
        <x:is>
          <x:t xml:space="preserve">Payment Service</x:t>
        </x:is>
      </x:c>
      <x:c r="C13" s="5" t="inlineStr">
        <x:is>
          <x:t xml:space="preserve">Duplicate Event Handling</x:t>
        </x:is>
      </x:c>
      <x:c r="D13" s="5" t="inlineStr">
        <x:is>
          <x:t xml:space="preserve">Verify duplicate `order.created` does not trigger double charge</x:t>
        </x:is>
      </x:c>
      <x:c r="E13" s="5" t="inlineStr">
        <x:is>
          <x:t xml:space="preserve">Payment service active</x:t>
        </x:is>
      </x:c>
      <x:c r="F13" s="5" t="inlineStr">
        <x:is>
          <x:t xml:space="preserve">1. Replay same `order.created` event twice</x:t>
        </x:is>
      </x:c>
      <x:c r="G13" s="5" t="inlineStr">
        <x:is>
          <x:t xml:space="preserve">same orderId</x:t>
        </x:is>
      </x:c>
      <x:c r="H13" s="5" t="inlineStr">
        <x:is>
          <x:t xml:space="preserve">Payment processed only once</x:t>
        </x:is>
      </x:c>
      <x:c r="I13" s="6" t="inlineStr">
        <x:is>
          <x:t xml:space="preserve">High</x:t>
        </x:is>
      </x:c>
      <x:c r="J13" s="12" t="inlineStr">
        <x:is>
          <x:t xml:space="preserve">Edge</x:t>
        </x:is>
      </x:c>
      <x:c r="K13" s="8" t="inlineStr">
        <x:is>
          <x:t xml:space="preserve">Manual</x:t>
        </x:is>
      </x:c>
      <x:c r="L13" s="9" t="inlineStr">
        <x:is>
          <x:t xml:space="preserve">Not Run</x:t>
        </x:is>
      </x:c>
      <x:c r="M13" s="5" t="inlineStr">
        <x:is>
          <x:t xml:space="preserve">Critical financial control</x:t>
        </x:is>
      </x:c>
      <x:c r="N13" s="10" t="inlineStr">
        <x:is>
          <x:t xml:space="preserve">Yes</x:t>
        </x:is>
      </x:c>
    </x:row>
    <x:row r="14">
      <x:c r="A14" s="4" t="inlineStr">
        <x:is>
          <x:t xml:space="preserve">EVT-PAY-004</x:t>
        </x:is>
      </x:c>
      <x:c r="B14" s="5" t="inlineStr">
        <x:is>
          <x:t xml:space="preserve">Payment Service</x:t>
        </x:is>
      </x:c>
      <x:c r="C14" s="5" t="inlineStr">
        <x:is>
          <x:t xml:space="preserve">Invalid Event Payload</x:t>
        </x:is>
      </x:c>
      <x:c r="D14" s="5" t="inlineStr">
        <x:is>
          <x:t xml:space="preserve">Verify malformed order event is rejected</x:t>
        </x:is>
      </x:c>
      <x:c r="E14" s="5" t="inlineStr">
        <x:is>
          <x:t xml:space="preserve">Consumer active</x:t>
        </x:is>
      </x:c>
      <x:c r="F14" s="5" t="inlineStr">
        <x:is>
          <x:t xml:space="preserve">1. Publish invalid `order.created` event</x:t>
        </x:is>
      </x:c>
      <x:c r="G14" s="5" t="inlineStr">
        <x:is>
          <x:t xml:space="preserve">missing orderId</x:t>
        </x:is>
      </x:c>
      <x:c r="H14" s="5" t="inlineStr">
        <x:is>
          <x:t xml:space="preserve">Event rejected or routed to error handling / DLQ</x:t>
        </x:is>
      </x:c>
      <x:c r="I14" s="6" t="inlineStr">
        <x:is>
          <x:t xml:space="preserve">High</x:t>
        </x:is>
      </x:c>
      <x:c r="J14" s="11" t="inlineStr">
        <x:is>
          <x:t xml:space="preserve">Negative</x:t>
        </x:is>
      </x:c>
      <x:c r="K14" s="8" t="inlineStr">
        <x:is>
          <x:t xml:space="preserve">Manual</x:t>
        </x:is>
      </x:c>
      <x:c r="L14" s="9" t="inlineStr">
        <x:is>
          <x:t xml:space="preserve">Not Run</x:t>
        </x:is>
      </x:c>
      <x:c r="M14" s="5" t="inlineStr">
        <x:is>
          <x:t xml:space="preserve">Error handling</x:t>
        </x:is>
      </x:c>
      <x:c r="N14" s="10" t="inlineStr">
        <x:is>
          <x:t xml:space="preserve">Yes</x:t>
        </x:is>
      </x:c>
    </x:row>
    <x:row r="15">
      <x:c r="A15" s="4" t="inlineStr">
        <x:is>
          <x:t xml:space="preserve">EVT-PAY-005</x:t>
        </x:is>
      </x:c>
      <x:c r="B15" s="5" t="inlineStr">
        <x:is>
          <x:t xml:space="preserve">Payment Service</x:t>
        </x:is>
      </x:c>
      <x:c r="C15" s="5" t="inlineStr">
        <x:is>
          <x:t xml:space="preserve">Retry Logic</x:t>
        </x:is>
      </x:c>
      <x:c r="D15" s="5" t="inlineStr">
        <x:is>
          <x:t xml:space="preserve">Verify temporary payment service failure triggers retry without duplicate final state</x:t>
        </x:is>
      </x:c>
      <x:c r="E15" s="5" t="inlineStr">
        <x:is>
          <x:t xml:space="preserve">Retry logic configured</x:t>
        </x:is>
      </x:c>
      <x:c r="F15" s="5" t="inlineStr">
        <x:is>
          <x:t xml:space="preserve">1. Simulate temporary payment failure
2. Recover service</x:t>
        </x:is>
      </x:c>
      <x:c r="G15" s="5" t="inlineStr">
        <x:is>
          <x:t xml:space="preserve">valid order event</x:t>
        </x:is>
      </x:c>
      <x:c r="H15" s="5" t="inlineStr">
        <x:is>
          <x:t xml:space="preserve">Retry occurs and final payment status is correct without duplication</x:t>
        </x:is>
      </x:c>
      <x:c r="I15" s="6" t="inlineStr">
        <x:is>
          <x:t xml:space="preserve">High</x:t>
        </x:is>
      </x:c>
      <x:c r="J15" s="13" t="inlineStr">
        <x:is>
          <x:t xml:space="preserve">Recovery</x:t>
        </x:is>
      </x:c>
      <x:c r="K15" s="8" t="inlineStr">
        <x:is>
          <x:t xml:space="preserve">Manual</x:t>
        </x:is>
      </x:c>
      <x:c r="L15" s="9" t="inlineStr">
        <x:is>
          <x:t xml:space="preserve">Not Run</x:t>
        </x:is>
      </x:c>
      <x:c r="M15" s="5" t="inlineStr">
        <x:is>
          <x:t xml:space="preserve">Resilience check</x:t>
        </x:is>
      </x:c>
      <x:c r="N15" s="8" t="inlineStr">
        <x:is>
          <x:t xml:space="preserve">No</x:t>
        </x:is>
      </x:c>
    </x:row>
    <x:row r="16">
      <x:c r="A16" s="4" t="inlineStr">
        <x:is>
          <x:t xml:space="preserve">EVT-PAY-006</x:t>
        </x:is>
      </x:c>
      <x:c r="B16" s="5" t="inlineStr">
        <x:is>
          <x:t xml:space="preserve">Payment Service</x:t>
        </x:is>
      </x:c>
      <x:c r="C16" s="5" t="inlineStr">
        <x:is>
          <x:t xml:space="preserve">Audit Logging</x:t>
        </x:is>
      </x:c>
      <x:c r="D16" s="5" t="inlineStr">
        <x:is>
          <x:t xml:space="preserve">Verify payment processing action is logged for traceability</x:t>
        </x:is>
      </x:c>
      <x:c r="E16" s="5" t="inlineStr">
        <x:is>
          <x:t xml:space="preserve">Logging/audit available</x:t>
        </x:is>
      </x:c>
      <x:c r="F16" s="5" t="inlineStr">
        <x:is>
          <x:t xml:space="preserve">1. Complete payment flow
2. Check audit logs</x:t>
        </x:is>
      </x:c>
      <x:c r="G16" s="5" t="inlineStr">
        <x:is>
          <x:t xml:space="preserve">valid order</x:t>
        </x:is>
      </x:c>
      <x:c r="H16" s="5" t="inlineStr">
        <x:is>
          <x:t xml:space="preserve">Audit contains orderId, event type, timestamp, result</x:t>
        </x:is>
      </x:c>
      <x:c r="I16" s="14" t="inlineStr">
        <x:is>
          <x:t xml:space="preserve">Medium</x:t>
        </x:is>
      </x:c>
      <x:c r="J16" s="7" t="inlineStr">
        <x:is>
          <x:t xml:space="preserve">Positive</x:t>
        </x:is>
      </x:c>
      <x:c r="K16" s="8" t="inlineStr">
        <x:is>
          <x:t xml:space="preserve">Manual</x:t>
        </x:is>
      </x:c>
      <x:c r="L16" s="9" t="inlineStr">
        <x:is>
          <x:t xml:space="preserve">Not Run</x:t>
        </x:is>
      </x:c>
      <x:c r="M16" s="5" t="inlineStr">
        <x:is>
          <x:t xml:space="preserve">Traceability</x:t>
        </x:is>
      </x:c>
      <x:c r="N16" s="8" t="inlineStr">
        <x:is>
          <x:t xml:space="preserve">No</x:t>
        </x:is>
      </x:c>
    </x:row>
    <x:row r="17">
      <x:c r="A17" s="4" t="inlineStr">
        <x:is>
          <x:t xml:space="preserve">EVT-INV-001</x:t>
        </x:is>
      </x:c>
      <x:c r="B17" s="5" t="inlineStr">
        <x:is>
          <x:t xml:space="preserve">Inventory Service</x:t>
        </x:is>
      </x:c>
      <x:c r="C17" s="5" t="inlineStr">
        <x:is>
          <x:t xml:space="preserve">Inventory Reservation</x:t>
        </x:is>
      </x:c>
      <x:c r="D17" s="5" t="inlineStr">
        <x:is>
          <x:t xml:space="preserve">Verify `inventory.reserved` is emitted after `payment.authorized`</x:t>
        </x:is>
      </x:c>
      <x:c r="E17" s="5" t="inlineStr">
        <x:is>
          <x:t xml:space="preserve">Inventory available</x:t>
        </x:is>
      </x:c>
      <x:c r="F17" s="5" t="inlineStr">
        <x:is>
          <x:t xml:space="preserve">1. Trigger valid order
2. Complete payment
3. Check inventory event</x:t>
        </x:is>
      </x:c>
      <x:c r="G17" s="5" t="inlineStr">
        <x:is>
          <x:t xml:space="preserve">SKU-001 stock=10</x:t>
        </x:is>
      </x:c>
      <x:c r="H17" s="5" t="inlineStr">
        <x:is>
          <x:t xml:space="preserve">Stock reserved and `inventory.reserved` emitted</x:t>
        </x:is>
      </x:c>
      <x:c r="I17" s="6" t="inlineStr">
        <x:is>
          <x:t xml:space="preserve">High</x:t>
        </x:is>
      </x:c>
      <x:c r="J17" s="7" t="inlineStr">
        <x:is>
          <x:t xml:space="preserve">Positive</x:t>
        </x:is>
      </x:c>
      <x:c r="K17" s="8" t="inlineStr">
        <x:is>
          <x:t xml:space="preserve">Manual</x:t>
        </x:is>
      </x:c>
      <x:c r="L17" s="9" t="inlineStr">
        <x:is>
          <x:t xml:space="preserve">Not Run</x:t>
        </x:is>
      </x:c>
      <x:c r="M17" s="5" t="inlineStr">
        <x:is>
          <x:t xml:space="preserve">Happy path</x:t>
        </x:is>
      </x:c>
      <x:c r="N17" s="10" t="inlineStr">
        <x:is>
          <x:t xml:space="preserve">Yes</x:t>
        </x:is>
      </x:c>
    </x:row>
    <x:row r="18">
      <x:c r="A18" s="4" t="inlineStr">
        <x:is>
          <x:t xml:space="preserve">EVT-INV-002</x:t>
        </x:is>
      </x:c>
      <x:c r="B18" s="5" t="inlineStr">
        <x:is>
          <x:t xml:space="preserve">Inventory Service</x:t>
        </x:is>
      </x:c>
      <x:c r="C18" s="5" t="inlineStr">
        <x:is>
          <x:t xml:space="preserve">Insufficient Stock</x:t>
        </x:is>
      </x:c>
      <x:c r="D18" s="5" t="inlineStr">
        <x:is>
          <x:t xml:space="preserve">Verify `inventory.failed` is emitted when stock is not enough</x:t>
        </x:is>
      </x:c>
      <x:c r="E18" s="5" t="inlineStr">
        <x:is>
          <x:t xml:space="preserve">Limited stock exists</x:t>
        </x:is>
      </x:c>
      <x:c r="F18" s="5" t="inlineStr">
        <x:is>
          <x:t xml:space="preserve">1. Trigger order beyond available stock</x:t>
        </x:is>
      </x:c>
      <x:c r="G18" s="5" t="inlineStr">
        <x:is>
          <x:t xml:space="preserve">qty=99</x:t>
        </x:is>
      </x:c>
      <x:c r="H18" s="5" t="inlineStr">
        <x:is>
          <x:t xml:space="preserve">`inventory.failed` emitted and final order not completed</x:t>
        </x:is>
      </x:c>
      <x:c r="I18" s="6" t="inlineStr">
        <x:is>
          <x:t xml:space="preserve">High</x:t>
        </x:is>
      </x:c>
      <x:c r="J18" s="11" t="inlineStr">
        <x:is>
          <x:t xml:space="preserve">Negative</x:t>
        </x:is>
      </x:c>
      <x:c r="K18" s="8" t="inlineStr">
        <x:is>
          <x:t xml:space="preserve">Manual</x:t>
        </x:is>
      </x:c>
      <x:c r="L18" s="9" t="inlineStr">
        <x:is>
          <x:t xml:space="preserve">Not Run</x:t>
        </x:is>
      </x:c>
      <x:c r="M18" s="5" t="inlineStr">
        <x:is>
          <x:t xml:space="preserve">Important business scenario</x:t>
        </x:is>
      </x:c>
      <x:c r="N18" s="8" t="inlineStr">
        <x:is>
          <x:t xml:space="preserve">No</x:t>
        </x:is>
      </x:c>
    </x:row>
    <x:row r="19">
      <x:c r="A19" s="4" t="inlineStr">
        <x:is>
          <x:t xml:space="preserve">EVT-INV-003</x:t>
        </x:is>
      </x:c>
      <x:c r="B19" s="5" t="inlineStr">
        <x:is>
          <x:t xml:space="preserve">Inventory Service</x:t>
        </x:is>
      </x:c>
      <x:c r="C19" s="5" t="inlineStr">
        <x:is>
          <x:t xml:space="preserve">Duplicate Reservation Prevention</x:t>
        </x:is>
      </x:c>
      <x:c r="D19" s="5" t="inlineStr">
        <x:is>
          <x:t xml:space="preserve">Verify duplicate payment event does not reserve stock twice</x:t>
        </x:is>
      </x:c>
      <x:c r="E19" s="5" t="inlineStr">
        <x:is>
          <x:t xml:space="preserve">Inventory service active</x:t>
        </x:is>
      </x:c>
      <x:c r="F19" s="5" t="inlineStr">
        <x:is>
          <x:t xml:space="preserve">1. Replay `payment.authorized` twice</x:t>
        </x:is>
      </x:c>
      <x:c r="G19" s="5" t="inlineStr">
        <x:is>
          <x:t xml:space="preserve">same orderId</x:t>
        </x:is>
      </x:c>
      <x:c r="H19" s="5" t="inlineStr">
        <x:is>
          <x:t xml:space="preserve">Inventory reserved once only</x:t>
        </x:is>
      </x:c>
      <x:c r="I19" s="6" t="inlineStr">
        <x:is>
          <x:t xml:space="preserve">High</x:t>
        </x:is>
      </x:c>
      <x:c r="J19" s="12" t="inlineStr">
        <x:is>
          <x:t xml:space="preserve">Edge</x:t>
        </x:is>
      </x:c>
      <x:c r="K19" s="8" t="inlineStr">
        <x:is>
          <x:t xml:space="preserve">Manual</x:t>
        </x:is>
      </x:c>
      <x:c r="L19" s="9" t="inlineStr">
        <x:is>
          <x:t xml:space="preserve">Not Run</x:t>
        </x:is>
      </x:c>
      <x:c r="M19" s="5" t="inlineStr">
        <x:is>
          <x:t xml:space="preserve">Idempotency</x:t>
        </x:is>
      </x:c>
      <x:c r="N19" s="10" t="inlineStr">
        <x:is>
          <x:t xml:space="preserve">Yes</x:t>
        </x:is>
      </x:c>
    </x:row>
    <x:row r="20">
      <x:c r="A20" s="4" t="inlineStr">
        <x:is>
          <x:t xml:space="preserve">EVT-INV-004</x:t>
        </x:is>
      </x:c>
      <x:c r="B20" s="5" t="inlineStr">
        <x:is>
          <x:t xml:space="preserve">Inventory Service</x:t>
        </x:is>
      </x:c>
      <x:c r="C20" s="5" t="inlineStr">
        <x:is>
          <x:t xml:space="preserve">Invalid Sequence</x:t>
        </x:is>
      </x:c>
      <x:c r="D20" s="5" t="inlineStr">
        <x:is>
          <x:t xml:space="preserve">Verify inventory service ignores `payment.failed` for reservation step</x:t>
        </x:is>
      </x:c>
      <x:c r="E20" s="5" t="inlineStr">
        <x:is>
          <x:t xml:space="preserve">Consumer active</x:t>
        </x:is>
      </x:c>
      <x:c r="F20" s="5" t="inlineStr">
        <x:is>
          <x:t xml:space="preserve">1. Publish failed payment event
2. Monitor inventory behavior</x:t>
        </x:is>
      </x:c>
      <x:c r="G20" s="5" t="inlineStr">
        <x:is>
          <x:t xml:space="preserve">payment.failed</x:t>
        </x:is>
      </x:c>
      <x:c r="H20" s="5" t="inlineStr">
        <x:is>
          <x:t xml:space="preserve">No inventory reservation occurs</x:t>
        </x:is>
      </x:c>
      <x:c r="I20" s="6" t="inlineStr">
        <x:is>
          <x:t xml:space="preserve">High</x:t>
        </x:is>
      </x:c>
      <x:c r="J20" s="11" t="inlineStr">
        <x:is>
          <x:t xml:space="preserve">Negative</x:t>
        </x:is>
      </x:c>
      <x:c r="K20" s="8" t="inlineStr">
        <x:is>
          <x:t xml:space="preserve">Manual</x:t>
        </x:is>
      </x:c>
      <x:c r="L20" s="9" t="inlineStr">
        <x:is>
          <x:t xml:space="preserve">Not Run</x:t>
        </x:is>
      </x:c>
      <x:c r="M20" s="5" t="inlineStr">
        <x:is>
          <x:t xml:space="preserve">Sequence validation</x:t>
        </x:is>
      </x:c>
      <x:c r="N20" s="8" t="inlineStr">
        <x:is>
          <x:t xml:space="preserve">No</x:t>
        </x:is>
      </x:c>
    </x:row>
    <x:row r="21">
      <x:c r="A21" s="4" t="inlineStr">
        <x:is>
          <x:t xml:space="preserve">EVT-INV-005</x:t>
        </x:is>
      </x:c>
      <x:c r="B21" s="5" t="inlineStr">
        <x:is>
          <x:t xml:space="preserve">Inventory Service</x:t>
        </x:is>
      </x:c>
      <x:c r="C21" s="5" t="inlineStr">
        <x:is>
          <x:t xml:space="preserve">Out-of-Order Event</x:t>
        </x:is>
      </x:c>
      <x:c r="D21" s="5" t="inlineStr">
        <x:is>
          <x:t xml:space="preserve">Verify `inventory.reserved` is not processed before payment authorization in end-to-end flow</x:t>
        </x:is>
      </x:c>
      <x:c r="E21" s="5" t="inlineStr">
        <x:is>
          <x:t xml:space="preserve">Event simulation available</x:t>
        </x:is>
      </x:c>
      <x:c r="F21" s="5" t="inlineStr">
        <x:is>
          <x:t xml:space="preserve">1. Publish inventory-related event before payment authorization</x:t>
        </x:is>
      </x:c>
      <x:c r="G21" s="5" t="inlineStr">
        <x:is>
          <x:t xml:space="preserve">out-of-order sequence</x:t>
        </x:is>
      </x:c>
      <x:c r="H21" s="5" t="inlineStr">
        <x:is>
          <x:t xml:space="preserve">System detects invalid sequence or safely ignores it</x:t>
        </x:is>
      </x:c>
      <x:c r="I21" s="6" t="inlineStr">
        <x:is>
          <x:t xml:space="preserve">High</x:t>
        </x:is>
      </x:c>
      <x:c r="J21" s="12" t="inlineStr">
        <x:is>
          <x:t xml:space="preserve">Edge</x:t>
        </x:is>
      </x:c>
      <x:c r="K21" s="8" t="inlineStr">
        <x:is>
          <x:t xml:space="preserve">Manual</x:t>
        </x:is>
      </x:c>
      <x:c r="L21" s="9" t="inlineStr">
        <x:is>
          <x:t xml:space="preserve">Not Run</x:t>
        </x:is>
      </x:c>
      <x:c r="M21" s="5" t="inlineStr">
        <x:is>
          <x:t xml:space="preserve">Async sequencing</x:t>
        </x:is>
      </x:c>
      <x:c r="N21" s="8" t="inlineStr">
        <x:is>
          <x:t xml:space="preserve">No</x:t>
        </x:is>
      </x:c>
    </x:row>
    <x:row r="22">
      <x:c r="A22" s="4" t="inlineStr">
        <x:is>
          <x:t xml:space="preserve">EVT-INV-006</x:t>
        </x:is>
      </x:c>
      <x:c r="B22" s="5" t="inlineStr">
        <x:is>
          <x:t xml:space="preserve">Inventory Service</x:t>
        </x:is>
      </x:c>
      <x:c r="C22" s="5" t="inlineStr">
        <x:is>
          <x:t xml:space="preserve">Stock Integrity</x:t>
        </x:is>
      </x:c>
      <x:c r="D22" s="5" t="inlineStr">
        <x:is>
          <x:t xml:space="preserve">Verify available stock count is updated correctly after reservation</x:t>
        </x:is>
      </x:c>
      <x:c r="E22" s="5" t="inlineStr">
        <x:is>
          <x:t xml:space="preserve">DB or stock table available</x:t>
        </x:is>
      </x:c>
      <x:c r="F22" s="5" t="inlineStr">
        <x:is>
          <x:t xml:space="preserve">1. Reserve stock for valid order
2. Check stock record</x:t>
        </x:is>
      </x:c>
      <x:c r="G22" s="5" t="inlineStr">
        <x:is>
          <x:t xml:space="preserve">stock before=10, qty=2</x:t>
        </x:is>
      </x:c>
      <x:c r="H22" s="5" t="inlineStr">
        <x:is>
          <x:t xml:space="preserve">Stock reduces correctly to 8</x:t>
        </x:is>
      </x:c>
      <x:c r="I22" s="6" t="inlineStr">
        <x:is>
          <x:t xml:space="preserve">High</x:t>
        </x:is>
      </x:c>
      <x:c r="J22" s="7" t="inlineStr">
        <x:is>
          <x:t xml:space="preserve">Positive</x:t>
        </x:is>
      </x:c>
      <x:c r="K22" s="8" t="inlineStr">
        <x:is>
          <x:t xml:space="preserve">Manual</x:t>
        </x:is>
      </x:c>
      <x:c r="L22" s="9" t="inlineStr">
        <x:is>
          <x:t xml:space="preserve">Not Run</x:t>
        </x:is>
      </x:c>
      <x:c r="M22" s="5" t="inlineStr">
        <x:is>
          <x:t xml:space="preserve">Data integrity</x:t>
        </x:is>
      </x:c>
      <x:c r="N22" s="8" t="inlineStr">
        <x:is>
          <x:t xml:space="preserve">No</x:t>
        </x:is>
      </x:c>
    </x:row>
    <x:row r="23">
      <x:c r="A23" s="4" t="inlineStr">
        <x:is>
          <x:t xml:space="preserve">EVT-NOT-001</x:t>
        </x:is>
      </x:c>
      <x:c r="B23" s="5" t="inlineStr">
        <x:is>
          <x:t xml:space="preserve">Notification Service</x:t>
        </x:is>
      </x:c>
      <x:c r="C23" s="5" t="inlineStr">
        <x:is>
          <x:t xml:space="preserve">Success Notification</x:t>
        </x:is>
      </x:c>
      <x:c r="D23" s="5" t="inlineStr">
        <x:is>
          <x:t xml:space="preserve">Verify success notification sent after completed flow</x:t>
        </x:is>
      </x:c>
      <x:c r="E23" s="5" t="inlineStr">
        <x:is>
          <x:t xml:space="preserve">Full success flow available</x:t>
        </x:is>
      </x:c>
      <x:c r="F23" s="5" t="inlineStr">
        <x:is>
          <x:t xml:space="preserve">1. Complete happy path
2. Check notification log/message</x:t>
        </x:is>
      </x:c>
      <x:c r="G23" s="5" t="inlineStr">
        <x:is>
          <x:t xml:space="preserve">valid order</x:t>
        </x:is>
      </x:c>
      <x:c r="H23" s="5" t="inlineStr">
        <x:is>
          <x:t xml:space="preserve">Notification is generated after successful completion</x:t>
        </x:is>
      </x:c>
      <x:c r="I23" s="14" t="inlineStr">
        <x:is>
          <x:t xml:space="preserve">Medium</x:t>
        </x:is>
      </x:c>
      <x:c r="J23" s="7" t="inlineStr">
        <x:is>
          <x:t xml:space="preserve">Positive</x:t>
        </x:is>
      </x:c>
      <x:c r="K23" s="8" t="inlineStr">
        <x:is>
          <x:t xml:space="preserve">Manual</x:t>
        </x:is>
      </x:c>
      <x:c r="L23" s="9" t="inlineStr">
        <x:is>
          <x:t xml:space="preserve">Not Run</x:t>
        </x:is>
      </x:c>
      <x:c r="M23" s="5" t="inlineStr">
        <x:is>
          <x:t xml:space="preserve">Non-core but useful</x:t>
        </x:is>
      </x:c>
      <x:c r="N23" s="8" t="inlineStr">
        <x:is>
          <x:t xml:space="preserve">No</x:t>
        </x:is>
      </x:c>
    </x:row>
    <x:row r="24">
      <x:c r="A24" s="4" t="inlineStr">
        <x:is>
          <x:t xml:space="preserve">EVT-NOT-002</x:t>
        </x:is>
      </x:c>
      <x:c r="B24" s="5" t="inlineStr">
        <x:is>
          <x:t xml:space="preserve">Notification Service</x:t>
        </x:is>
      </x:c>
      <x:c r="C24" s="5" t="inlineStr">
        <x:is>
          <x:t xml:space="preserve">Failure Notification</x:t>
        </x:is>
      </x:c>
      <x:c r="D24" s="5" t="inlineStr">
        <x:is>
          <x:t xml:space="preserve">Verify failure notification sent for payment or inventory failure</x:t>
        </x:is>
      </x:c>
      <x:c r="E24" s="5" t="inlineStr">
        <x:is>
          <x:t xml:space="preserve">Failure path available</x:t>
        </x:is>
      </x:c>
      <x:c r="F24" s="5" t="inlineStr">
        <x:is>
          <x:t xml:space="preserve">1. Trigger failed payment or stock failure</x:t>
        </x:is>
      </x:c>
      <x:c r="G24" s="5" t="inlineStr">
        <x:is>
          <x:t xml:space="preserve">failed order</x:t>
        </x:is>
      </x:c>
      <x:c r="H24" s="5" t="inlineStr">
        <x:is>
          <x:t xml:space="preserve">Failure notification generated correctly</x:t>
        </x:is>
      </x:c>
      <x:c r="I24" s="14" t="inlineStr">
        <x:is>
          <x:t xml:space="preserve">Medium</x:t>
        </x:is>
      </x:c>
      <x:c r="J24" s="11" t="inlineStr">
        <x:is>
          <x:t xml:space="preserve">Negative</x:t>
        </x:is>
      </x:c>
      <x:c r="K24" s="8" t="inlineStr">
        <x:is>
          <x:t xml:space="preserve">Manual</x:t>
        </x:is>
      </x:c>
      <x:c r="L24" s="9" t="inlineStr">
        <x:is>
          <x:t xml:space="preserve">Not Run</x:t>
        </x:is>
      </x:c>
      <x:c r="M24" s="5" t="inlineStr">
        <x:is>
          <x:t xml:space="preserve">Customer communication</x:t>
        </x:is>
      </x:c>
      <x:c r="N24" s="8" t="inlineStr">
        <x:is>
          <x:t xml:space="preserve">No</x:t>
        </x:is>
      </x:c>
    </x:row>
    <x:row r="25">
      <x:c r="A25" s="4" t="inlineStr">
        <x:is>
          <x:t xml:space="preserve">EVT-NOT-003</x:t>
        </x:is>
      </x:c>
      <x:c r="B25" s="5" t="inlineStr">
        <x:is>
          <x:t xml:space="preserve">Notification Service</x:t>
        </x:is>
      </x:c>
      <x:c r="C25" s="5" t="inlineStr">
        <x:is>
          <x:t xml:space="preserve">Notification Retry</x:t>
        </x:is>
      </x:c>
      <x:c r="D25" s="5" t="inlineStr">
        <x:is>
          <x:t xml:space="preserve">Verify notification retry does not affect transaction status</x:t>
        </x:is>
      </x:c>
      <x:c r="E25" s="5" t="inlineStr">
        <x:is>
          <x:t xml:space="preserve">Retry behavior supported</x:t>
        </x:is>
      </x:c>
      <x:c r="F25" s="5" t="inlineStr">
        <x:is>
          <x:t xml:space="preserve">1. Simulate notification failure
2. Retry send</x:t>
        </x:is>
      </x:c>
      <x:c r="G25" s="5" t="inlineStr">
        <x:is>
          <x:t xml:space="preserve">valid completed order</x:t>
        </x:is>
      </x:c>
      <x:c r="H25" s="5" t="inlineStr">
        <x:is>
          <x:t xml:space="preserve">Order stays completed; notification retried independently</x:t>
        </x:is>
      </x:c>
      <x:c r="I25" s="14" t="inlineStr">
        <x:is>
          <x:t xml:space="preserve">Medium</x:t>
        </x:is>
      </x:c>
      <x:c r="J25" s="13" t="inlineStr">
        <x:is>
          <x:t xml:space="preserve">Recovery</x:t>
        </x:is>
      </x:c>
      <x:c r="K25" s="8" t="inlineStr">
        <x:is>
          <x:t xml:space="preserve">Manual</x:t>
        </x:is>
      </x:c>
      <x:c r="L25" s="9" t="inlineStr">
        <x:is>
          <x:t xml:space="preserve">Not Run</x:t>
        </x:is>
      </x:c>
      <x:c r="M25" s="5" t="inlineStr">
        <x:is>
          <x:t xml:space="preserve">Decoupled behavior</x:t>
        </x:is>
      </x:c>
      <x:c r="N25" s="8" t="inlineStr">
        <x:is>
          <x:t xml:space="preserve">No</x:t>
        </x:is>
      </x:c>
    </x:row>
    <x:row r="26">
      <x:c r="A26" s="4" t="inlineStr">
        <x:is>
          <x:t xml:space="preserve">EVT-E2E-001</x:t>
        </x:is>
      </x:c>
      <x:c r="B26" s="5" t="inlineStr">
        <x:is>
          <x:t xml:space="preserve">End-to-End</x:t>
        </x:is>
      </x:c>
      <x:c r="C26" s="5" t="inlineStr">
        <x:is>
          <x:t xml:space="preserve">Happy Path</x:t>
        </x:is>
      </x:c>
      <x:c r="D26" s="5" t="inlineStr">
        <x:is>
          <x:t xml:space="preserve">Verify complete flow from order creation to notification</x:t>
        </x:is>
      </x:c>
      <x:c r="E26" s="5" t="inlineStr">
        <x:is>
          <x:t xml:space="preserve">All services active</x:t>
        </x:is>
      </x:c>
      <x:c r="F26" s="5" t="inlineStr">
        <x:is>
          <x:t xml:space="preserve">1. Create order
2. Authorize payment
3. Reserve inventory
4. Check notification
5. Validate final DB state</x:t>
        </x:is>
      </x:c>
      <x:c r="G26" s="5" t="inlineStr">
        <x:is>
          <x:t xml:space="preserve">valid order</x:t>
        </x:is>
      </x:c>
      <x:c r="H26" s="5" t="inlineStr">
        <x:is>
          <x:t xml:space="preserve">Final state is completed and all expected events occur in order</x:t>
        </x:is>
      </x:c>
      <x:c r="I26" s="6" t="inlineStr">
        <x:is>
          <x:t xml:space="preserve">High</x:t>
        </x:is>
      </x:c>
      <x:c r="J26" s="7" t="inlineStr">
        <x:is>
          <x:t xml:space="preserve">Positive</x:t>
        </x:is>
      </x:c>
      <x:c r="K26" s="8" t="inlineStr">
        <x:is>
          <x:t xml:space="preserve">Manual</x:t>
        </x:is>
      </x:c>
      <x:c r="L26" s="9" t="inlineStr">
        <x:is>
          <x:t xml:space="preserve">Not Run</x:t>
        </x:is>
      </x:c>
      <x:c r="M26" s="5" t="inlineStr">
        <x:is>
          <x:t xml:space="preserve">Main showcase case</x:t>
        </x:is>
      </x:c>
      <x:c r="N26" s="10" t="inlineStr">
        <x:is>
          <x:t xml:space="preserve">Yes</x:t>
        </x:is>
      </x:c>
    </x:row>
    <x:row r="27">
      <x:c r="A27" s="4" t="inlineStr">
        <x:is>
          <x:t xml:space="preserve">EVT-E2E-002</x:t>
        </x:is>
      </x:c>
      <x:c r="B27" s="5" t="inlineStr">
        <x:is>
          <x:t xml:space="preserve">End-to-End</x:t>
        </x:is>
      </x:c>
      <x:c r="C27" s="5" t="inlineStr">
        <x:is>
          <x:t xml:space="preserve">Payment Failure Path</x:t>
        </x:is>
      </x:c>
      <x:c r="D27" s="5" t="inlineStr">
        <x:is>
          <x:t xml:space="preserve">Verify downstream services do not continue after payment failure</x:t>
        </x:is>
      </x:c>
      <x:c r="E27" s="5" t="inlineStr">
        <x:is>
          <x:t xml:space="preserve">Payment failure setup available</x:t>
        </x:is>
      </x:c>
      <x:c r="F27" s="5" t="inlineStr">
        <x:is>
          <x:t xml:space="preserve">1. Create order
2. Simulate payment failure
3. Check inventory and notification behavior</x:t>
        </x:is>
      </x:c>
      <x:c r="G27" s="5" t="inlineStr">
        <x:is>
          <x:t xml:space="preserve">declined payment</x:t>
        </x:is>
      </x:c>
      <x:c r="H27" s="5" t="inlineStr">
        <x:is>
          <x:t xml:space="preserve">Inventory not reserved; failure state logged correctly</x:t>
        </x:is>
      </x:c>
      <x:c r="I27" s="6" t="inlineStr">
        <x:is>
          <x:t xml:space="preserve">High</x:t>
        </x:is>
      </x:c>
      <x:c r="J27" s="11" t="inlineStr">
        <x:is>
          <x:t xml:space="preserve">Negative</x:t>
        </x:is>
      </x:c>
      <x:c r="K27" s="8" t="inlineStr">
        <x:is>
          <x:t xml:space="preserve">Manual</x:t>
        </x:is>
      </x:c>
      <x:c r="L27" s="9" t="inlineStr">
        <x:is>
          <x:t xml:space="preserve">Not Run</x:t>
        </x:is>
      </x:c>
      <x:c r="M27" s="5" t="inlineStr">
        <x:is>
          <x:t xml:space="preserve">Critical control</x:t>
        </x:is>
      </x:c>
      <x:c r="N27" s="10" t="inlineStr">
        <x:is>
          <x:t xml:space="preserve">Yes</x:t>
        </x:is>
      </x:c>
    </x:row>
    <x:row r="28">
      <x:c r="A28" s="4" t="inlineStr">
        <x:is>
          <x:t xml:space="preserve">EVT-E2E-003</x:t>
        </x:is>
      </x:c>
      <x:c r="B28" s="5" t="inlineStr">
        <x:is>
          <x:t xml:space="preserve">End-to-End</x:t>
        </x:is>
      </x:c>
      <x:c r="C28" s="5" t="inlineStr">
        <x:is>
          <x:t xml:space="preserve">Inventory Failure Path</x:t>
        </x:is>
      </x:c>
      <x:c r="D28" s="5" t="inlineStr">
        <x:is>
          <x:t xml:space="preserve">Verify order status handled correctly when payment succeeds but inventory fails</x:t>
        </x:is>
      </x:c>
      <x:c r="E28" s="5" t="inlineStr">
        <x:is>
          <x:t xml:space="preserve">Stock failure available</x:t>
        </x:is>
      </x:c>
      <x:c r="F28" s="5" t="inlineStr">
        <x:is>
          <x:t xml:space="preserve">1. Create order
2. Authorize payment
3. Cause stock failure</x:t>
        </x:is>
      </x:c>
      <x:c r="G28" s="5" t="inlineStr">
        <x:is>
          <x:t xml:space="preserve">out-of-stock SKU</x:t>
        </x:is>
      </x:c>
      <x:c r="H28" s="5" t="inlineStr">
        <x:is>
          <x:t xml:space="preserve">Final state reflects failure or compensation flow as designed</x:t>
        </x:is>
      </x:c>
      <x:c r="I28" s="6" t="inlineStr">
        <x:is>
          <x:t xml:space="preserve">High</x:t>
        </x:is>
      </x:c>
      <x:c r="J28" s="11" t="inlineStr">
        <x:is>
          <x:t xml:space="preserve">Negative</x:t>
        </x:is>
      </x:c>
      <x:c r="K28" s="8" t="inlineStr">
        <x:is>
          <x:t xml:space="preserve">Manual</x:t>
        </x:is>
      </x:c>
      <x:c r="L28" s="9" t="inlineStr">
        <x:is>
          <x:t xml:space="preserve">Not Run</x:t>
        </x:is>
      </x:c>
      <x:c r="M28" s="5" t="inlineStr">
        <x:is>
          <x:t xml:space="preserve">Important business scenario</x:t>
        </x:is>
      </x:c>
      <x:c r="N28" s="10" t="inlineStr">
        <x:is>
          <x:t xml:space="preserve">Yes</x:t>
        </x:is>
      </x:c>
    </x:row>
    <x:row r="29">
      <x:c r="A29" s="4" t="inlineStr">
        <x:is>
          <x:t xml:space="preserve">EVT-E2E-004</x:t>
        </x:is>
      </x:c>
      <x:c r="B29" s="5" t="inlineStr">
        <x:is>
          <x:t xml:space="preserve">End-to-End</x:t>
        </x:is>
      </x:c>
      <x:c r="C29" s="5" t="inlineStr">
        <x:is>
          <x:t xml:space="preserve">Event Sequence</x:t>
        </x:is>
      </x:c>
      <x:c r="D29" s="5" t="inlineStr">
        <x:is>
          <x:t xml:space="preserve">Verify event order across services is correct</x:t>
        </x:is>
      </x:c>
      <x:c r="E29" s="5" t="inlineStr">
        <x:is>
          <x:t xml:space="preserve">Logging/monitoring enabled</x:t>
        </x:is>
      </x:c>
      <x:c r="F29" s="5" t="inlineStr">
        <x:is>
          <x:t xml:space="preserve">1. Run full happy path
2. Capture event sequence</x:t>
        </x:is>
      </x:c>
      <x:c r="G29" s="5" t="inlineStr">
        <x:is>
          <x:t xml:space="preserve">valid order</x:t>
        </x:is>
      </x:c>
      <x:c r="H29" s="5" t="inlineStr">
        <x:is>
          <x:t xml:space="preserve">Sequence follows `order.created` → `payment.authorized` → `inventory.reserved` → `notification.sent`</x:t>
        </x:is>
      </x:c>
      <x:c r="I29" s="6" t="inlineStr">
        <x:is>
          <x:t xml:space="preserve">High</x:t>
        </x:is>
      </x:c>
      <x:c r="J29" s="7" t="inlineStr">
        <x:is>
          <x:t xml:space="preserve">Positive</x:t>
        </x:is>
      </x:c>
      <x:c r="K29" s="8" t="inlineStr">
        <x:is>
          <x:t xml:space="preserve">Manual</x:t>
        </x:is>
      </x:c>
      <x:c r="L29" s="9" t="inlineStr">
        <x:is>
          <x:t xml:space="preserve">Not Run</x:t>
        </x:is>
      </x:c>
      <x:c r="M29" s="5" t="inlineStr">
        <x:is>
          <x:t xml:space="preserve">Event tracing</x:t>
        </x:is>
      </x:c>
      <x:c r="N29" s="10" t="inlineStr">
        <x:is>
          <x:t xml:space="preserve">Yes</x:t>
        </x:is>
      </x:c>
    </x:row>
    <x:row r="30">
      <x:c r="A30" s="4" t="inlineStr">
        <x:is>
          <x:t xml:space="preserve">EVT-E2E-005</x:t>
        </x:is>
      </x:c>
      <x:c r="B30" s="5" t="inlineStr">
        <x:is>
          <x:t xml:space="preserve">End-to-End</x:t>
        </x:is>
      </x:c>
      <x:c r="C30" s="5" t="inlineStr">
        <x:is>
          <x:t xml:space="preserve">Eventual Consistency</x:t>
        </x:is>
      </x:c>
      <x:c r="D30" s="5" t="inlineStr">
        <x:is>
          <x:t xml:space="preserve">Verify final state becomes correct within acceptable processing window</x:t>
        </x:is>
      </x:c>
      <x:c r="E30" s="5" t="inlineStr">
        <x:is>
          <x:t xml:space="preserve">Async processing available</x:t>
        </x:is>
      </x:c>
      <x:c r="F30" s="5" t="inlineStr">
        <x:is>
          <x:t xml:space="preserve">1. Trigger valid order
2. Observe delayed processing</x:t>
        </x:is>
      </x:c>
      <x:c r="G30" s="5" t="inlineStr">
        <x:is>
          <x:t xml:space="preserve">valid order</x:t>
        </x:is>
      </x:c>
      <x:c r="H30" s="5" t="inlineStr">
        <x:is>
          <x:t xml:space="preserve">Final status becomes correct within expected timeout</x:t>
        </x:is>
      </x:c>
      <x:c r="I30" s="6" t="inlineStr">
        <x:is>
          <x:t xml:space="preserve">High</x:t>
        </x:is>
      </x:c>
      <x:c r="J30" s="12" t="inlineStr">
        <x:is>
          <x:t xml:space="preserve">Edge</x:t>
        </x:is>
      </x:c>
      <x:c r="K30" s="8" t="inlineStr">
        <x:is>
          <x:t xml:space="preserve">Manual</x:t>
        </x:is>
      </x:c>
      <x:c r="L30" s="9" t="inlineStr">
        <x:is>
          <x:t xml:space="preserve">Not Run</x:t>
        </x:is>
      </x:c>
      <x:c r="M30" s="5" t="inlineStr">
        <x:is>
          <x:t xml:space="preserve">Async behavior</x:t>
        </x:is>
      </x:c>
      <x:c r="N30" s="10" t="inlineStr">
        <x:is>
          <x:t xml:space="preserve">Yes</x:t>
        </x:is>
      </x:c>
    </x:row>
    <x:row r="31">
      <x:c r="A31" s="4" t="inlineStr">
        <x:is>
          <x:t xml:space="preserve">EVT-E2E-006</x:t>
        </x:is>
      </x:c>
      <x:c r="B31" s="5" t="inlineStr">
        <x:is>
          <x:t xml:space="preserve">End-to-End</x:t>
        </x:is>
      </x:c>
      <x:c r="C31" s="5" t="inlineStr">
        <x:is>
          <x:t xml:space="preserve">Data Reconciliation</x:t>
        </x:is>
      </x:c>
      <x:c r="D31" s="5" t="inlineStr">
        <x:is>
          <x:t xml:space="preserve">Verify final DB/audit records match processed events</x:t>
        </x:is>
      </x:c>
      <x:c r="E31" s="5" t="inlineStr">
        <x:is>
          <x:t xml:space="preserve">DB access or simulated records available</x:t>
        </x:is>
      </x:c>
      <x:c r="F31" s="5" t="inlineStr">
        <x:is>
          <x:t xml:space="preserve">1. Run order flow
2. Compare events vs DB state</x:t>
        </x:is>
      </x:c>
      <x:c r="G31" s="5" t="inlineStr">
        <x:is>
          <x:t xml:space="preserve">valid order</x:t>
        </x:is>
      </x:c>
      <x:c r="H31" s="5" t="inlineStr">
        <x:is>
          <x:t xml:space="preserve">Event history and final stored state are consistent</x:t>
        </x:is>
      </x:c>
      <x:c r="I31" s="6" t="inlineStr">
        <x:is>
          <x:t xml:space="preserve">High</x:t>
        </x:is>
      </x:c>
      <x:c r="J31" s="7" t="inlineStr">
        <x:is>
          <x:t xml:space="preserve">Positive</x:t>
        </x:is>
      </x:c>
      <x:c r="K31" s="8" t="inlineStr">
        <x:is>
          <x:t xml:space="preserve">Manual</x:t>
        </x:is>
      </x:c>
      <x:c r="L31" s="9" t="inlineStr">
        <x:is>
          <x:t xml:space="preserve">Not Run</x:t>
        </x:is>
      </x:c>
      <x:c r="M31" s="5" t="inlineStr">
        <x:is>
          <x:t xml:space="preserve">Strong QA angle</x:t>
        </x:is>
      </x:c>
      <x:c r="N31" s="10" t="inlineStr">
        <x:is>
          <x:t xml:space="preserve">Yes</x:t>
        </x:is>
      </x:c>
    </x:row>
    <x:row r="32">
      <x:c r="A32" s="4" t="inlineStr">
        <x:is>
          <x:t xml:space="preserve">EVT-ERR-001</x:t>
        </x:is>
      </x:c>
      <x:c r="B32" s="5" t="inlineStr">
        <x:is>
          <x:t xml:space="preserve">Error Handling</x:t>
        </x:is>
      </x:c>
      <x:c r="C32" s="5" t="inlineStr">
        <x:is>
          <x:t xml:space="preserve">Dead Letter Flow</x:t>
        </x:is>
      </x:c>
      <x:c r="D32" s="5" t="inlineStr">
        <x:is>
          <x:t xml:space="preserve">Verify invalid event is routed to error/DLQ handling</x:t>
        </x:is>
      </x:c>
      <x:c r="E32" s="5" t="inlineStr">
        <x:is>
          <x:t xml:space="preserve">Error handling configured or documented</x:t>
        </x:is>
      </x:c>
      <x:c r="F32" s="5" t="inlineStr">
        <x:is>
          <x:t xml:space="preserve">1. Publish malformed event</x:t>
        </x:is>
      </x:c>
      <x:c r="G32" s="5" t="inlineStr">
        <x:is>
          <x:t xml:space="preserve">bad JSON / missing orderId</x:t>
        </x:is>
      </x:c>
      <x:c r="H32" s="5" t="inlineStr">
        <x:is>
          <x:t xml:space="preserve">Event moved to DLQ or flagged in error handling path</x:t>
        </x:is>
      </x:c>
      <x:c r="I32" s="6" t="inlineStr">
        <x:is>
          <x:t xml:space="preserve">High</x:t>
        </x:is>
      </x:c>
      <x:c r="J32" s="11" t="inlineStr">
        <x:is>
          <x:t xml:space="preserve">Negative</x:t>
        </x:is>
      </x:c>
      <x:c r="K32" s="8" t="inlineStr">
        <x:is>
          <x:t xml:space="preserve">Manual</x:t>
        </x:is>
      </x:c>
      <x:c r="L32" s="9" t="inlineStr">
        <x:is>
          <x:t xml:space="preserve">Not Run</x:t>
        </x:is>
      </x:c>
      <x:c r="M32" s="5" t="inlineStr">
        <x:is>
          <x:t xml:space="preserve">Advanced scenario</x:t>
        </x:is>
      </x:c>
      <x:c r="N32" s="10" t="inlineStr">
        <x:is>
          <x:t xml:space="preserve">Yes</x:t>
        </x:is>
      </x:c>
    </x:row>
    <x:row r="33">
      <x:c r="A33" s="4" t="inlineStr">
        <x:is>
          <x:t xml:space="preserve">EVT-ERR-002</x:t>
        </x:is>
      </x:c>
      <x:c r="B33" s="5" t="inlineStr">
        <x:is>
          <x:t xml:space="preserve">Error Handling</x:t>
        </x:is>
      </x:c>
      <x:c r="C33" s="5" t="inlineStr">
        <x:is>
          <x:t xml:space="preserve">Poison Message</x:t>
        </x:is>
      </x:c>
      <x:c r="D33" s="5" t="inlineStr">
        <x:is>
          <x:t xml:space="preserve">Verify repeated unprocessable event does not block entire flow</x:t>
        </x:is>
      </x:c>
      <x:c r="E33" s="5" t="inlineStr">
        <x:is>
          <x:t xml:space="preserve">Consumer active</x:t>
        </x:is>
      </x:c>
      <x:c r="F33" s="5" t="inlineStr">
        <x:is>
          <x:t xml:space="preserve">1. Inject poison message
2. Monitor queue processing</x:t>
        </x:is>
      </x:c>
      <x:c r="G33" s="5" t="inlineStr">
        <x:is>
          <x:t xml:space="preserve">invalid persistent event</x:t>
        </x:is>
      </x:c>
      <x:c r="H33" s="5" t="inlineStr">
        <x:is>
          <x:t xml:space="preserve">Bad message isolated; other valid processing continues</x:t>
        </x:is>
      </x:c>
      <x:c r="I33" s="6" t="inlineStr">
        <x:is>
          <x:t xml:space="preserve">High</x:t>
        </x:is>
      </x:c>
      <x:c r="J33" s="13" t="inlineStr">
        <x:is>
          <x:t xml:space="preserve">Recovery</x:t>
        </x:is>
      </x:c>
      <x:c r="K33" s="8" t="inlineStr">
        <x:is>
          <x:t xml:space="preserve">Manual</x:t>
        </x:is>
      </x:c>
      <x:c r="L33" s="9" t="inlineStr">
        <x:is>
          <x:t xml:space="preserve">Not Run</x:t>
        </x:is>
      </x:c>
      <x:c r="M33" s="5" t="inlineStr">
        <x:is>
          <x:t xml:space="preserve">Reliability</x:t>
        </x:is>
      </x:c>
      <x:c r="N33" s="10" t="inlineStr">
        <x:is>
          <x:t xml:space="preserve">Yes</x:t>
        </x:is>
      </x:c>
    </x:row>
    <x:row r="34">
      <x:c r="A34" s="4" t="inlineStr">
        <x:is>
          <x:t xml:space="preserve">EVT-ERR-003</x:t>
        </x:is>
      </x:c>
      <x:c r="B34" s="5" t="inlineStr">
        <x:is>
          <x:t xml:space="preserve">Error Handling</x:t>
        </x:is>
      </x:c>
      <x:c r="C34" s="5" t="inlineStr">
        <x:is>
          <x:t xml:space="preserve">Consumer Restart Recovery</x:t>
        </x:is>
      </x:c>
      <x:c r="D34" s="5" t="inlineStr">
        <x:is>
          <x:t xml:space="preserve">Verify processing resumes correctly after service restart</x:t>
        </x:is>
      </x:c>
      <x:c r="E34" s="5" t="inlineStr">
        <x:is>
          <x:t xml:space="preserve">Restart simulation available</x:t>
        </x:is>
      </x:c>
      <x:c r="F34" s="5" t="inlineStr">
        <x:is>
          <x:t xml:space="preserve">1. Start flow
2. Stop consumer
3. Restart consumer</x:t>
        </x:is>
      </x:c>
      <x:c r="G34" s="5" t="inlineStr">
        <x:is>
          <x:t xml:space="preserve">valid order</x:t>
        </x:is>
      </x:c>
      <x:c r="H34" s="5" t="inlineStr">
        <x:is>
          <x:t xml:space="preserve">System recovers and processes pending events correctly</x:t>
        </x:is>
      </x:c>
      <x:c r="I34" s="6" t="inlineStr">
        <x:is>
          <x:t xml:space="preserve">High</x:t>
        </x:is>
      </x:c>
      <x:c r="J34" s="13" t="inlineStr">
        <x:is>
          <x:t xml:space="preserve">Recovery</x:t>
        </x:is>
      </x:c>
      <x:c r="K34" s="8" t="inlineStr">
        <x:is>
          <x:t xml:space="preserve">Manual</x:t>
        </x:is>
      </x:c>
      <x:c r="L34" s="9" t="inlineStr">
        <x:is>
          <x:t xml:space="preserve">Not Run</x:t>
        </x:is>
      </x:c>
      <x:c r="M34" s="5" t="inlineStr">
        <x:is>
          <x:t xml:space="preserve">Strong engineering scenario</x:t>
        </x:is>
      </x:c>
      <x:c r="N34" s="10" t="inlineStr">
        <x:is>
          <x:t xml:space="preserve">Yes</x:t>
        </x:is>
      </x:c>
    </x:row>
    <x:row r="35">
      <x:c r="A35" s="4" t="inlineStr">
        <x:is>
          <x:t xml:space="preserve">EVT-ERR-004</x:t>
        </x:is>
      </x:c>
      <x:c r="B35" s="5" t="inlineStr">
        <x:is>
          <x:t xml:space="preserve">Error Handling</x:t>
        </x:is>
      </x:c>
      <x:c r="C35" s="5" t="inlineStr">
        <x:is>
          <x:t xml:space="preserve">Timeout Monitoring</x:t>
        </x:is>
      </x:c>
      <x:c r="D35" s="5" t="inlineStr">
        <x:is>
          <x:t xml:space="preserve">Verify delayed event processing is detectable</x:t>
        </x:is>
      </x:c>
      <x:c r="E35" s="5" t="inlineStr">
        <x:is>
          <x:t xml:space="preserve">Monitoring or timeout logic available</x:t>
        </x:is>
      </x:c>
      <x:c r="F35" s="5" t="inlineStr">
        <x:is>
          <x:t xml:space="preserve">1. Delay event consumption</x:t>
        </x:is>
      </x:c>
      <x:c r="G35" s="5" t="inlineStr">
        <x:is>
          <x:t xml:space="preserve">delayed payment</x:t>
        </x:is>
      </x:c>
      <x:c r="H35" s="5" t="inlineStr">
        <x:is>
          <x:t xml:space="preserve">Delay identified and final state handled per design</x:t>
        </x:is>
      </x:c>
      <x:c r="I35" s="14" t="inlineStr">
        <x:is>
          <x:t xml:space="preserve">Medium</x:t>
        </x:is>
      </x:c>
      <x:c r="J35" s="12" t="inlineStr">
        <x:is>
          <x:t xml:space="preserve">Edge</x:t>
        </x:is>
      </x:c>
      <x:c r="K35" s="8" t="inlineStr">
        <x:is>
          <x:t xml:space="preserve">Manual</x:t>
        </x:is>
      </x:c>
      <x:c r="L35" s="9" t="inlineStr">
        <x:is>
          <x:t xml:space="preserve">Not Run</x:t>
        </x:is>
      </x:c>
      <x:c r="M35" s="5" t="inlineStr">
        <x:is>
          <x:t xml:space="preserve">Operational visibility</x:t>
        </x:is>
      </x:c>
      <x:c r="N35" s="8" t="inlineStr">
        <x:is>
          <x:t xml:space="preserve">No</x:t>
        </x:is>
      </x:c>
    </x:row>
  </x:sheetData>
  <x:mergeCells>
    <x:mergeCell ref="A2:N2"/>
    <x:mergeCell ref="A1:N1"/>
  </x:mergeCells>
  <x:dataValidations count="5">
    <x:dataValidation type="list" allowBlank="0" showDropDown="0" showInputMessage="0" showErrorMessage="0" sqref="I5:I35">
      <x:formula1>"High,Medium,Low"</x:formula1>
    </x:dataValidation>
    <x:dataValidation type="list" allowBlank="0" showDropDown="0" showInputMessage="0" showErrorMessage="0" sqref="J5:J35">
      <x:formula1>"Positive,Negative,Edge,Recovery"</x:formula1>
    </x:dataValidation>
    <x:dataValidation type="list" allowBlank="0" showDropDown="0" showInputMessage="0" showErrorMessage="0" sqref="K5:K35">
      <x:formula1>"Manual,Automation,Both"</x:formula1>
    </x:dataValidation>
    <x:dataValidation type="list" allowBlank="0" showDropDown="0" showInputMessage="0" showErrorMessage="0" sqref="L5:L35">
      <x:formula1>"Not Run,Pass,Fail,Blocked"</x:formula1>
    </x:dataValidation>
    <x:dataValidation type="list" allowBlank="0" showDropDown="0" showInputMessage="0" showErrorMessage="0" sqref="N5:N35">
      <x:formula1>"Yes,No"</x:formula1>
    </x:dataValidation>
  </x:dataValidations>
  <x:pageMargins left="0.7" right="0.7" top="0.75" bottom="0.75" header="0.3" footer="0.3"/>
  <x:legacyDrawing xmlns:r="http://schemas.openxmlformats.org/officeDocument/2006/relationships" r:id="R038961f56737413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4" customWidth="1"/>
    <x:col min="3" max="3" width="18" customWidth="1"/>
    <x:col min="4" max="4" width="16" customWidth="1"/>
    <x:col min="5" max="5" width="14" customWidth="1"/>
    <x:col min="6" max="6" width="42" customWidth="1"/>
    <x:col min="7" max="7" width="10" customWidth="1"/>
    <x:col min="8" max="8" width="10" customWidth="1"/>
    <x:col min="9" max="9" width="24" customWidth="1"/>
  </x:cols>
  <x:sheetData>
    <x:row r="1">
      <x:c r="A1" s="15" t="inlineStr">
        <x:is>
          <x:t xml:space="preserve">Execution Report</x:t>
        </x:is>
      </x:c>
    </x:row>
    <x:row r="3">
      <x:c r="A3" s="3" t="inlineStr">
        <x:is>
          <x:t xml:space="preserve">Execution ID</x:t>
        </x:is>
      </x:c>
      <x:c r="B3" s="3" t="inlineStr">
        <x:is>
          <x:t xml:space="preserve">Test Case ID</x:t>
        </x:is>
      </x:c>
      <x:c r="C3" s="3" t="inlineStr">
        <x:is>
          <x:t xml:space="preserve">Module</x:t>
        </x:is>
      </x:c>
      <x:c r="D3" s="3" t="inlineStr">
        <x:is>
          <x:t xml:space="preserve">Tester</x:t>
        </x:is>
      </x:c>
      <x:c r="E3" s="3" t="inlineStr">
        <x:is>
          <x:t xml:space="preserve">Execution Date</x:t>
        </x:is>
      </x:c>
      <x:c r="F3" s="3" t="inlineStr">
        <x:is>
          <x:t xml:space="preserve">Actual Result</x:t>
        </x:is>
      </x:c>
      <x:c r="G3" s="3" t="inlineStr">
        <x:is>
          <x:t xml:space="preserve">Status</x:t>
        </x:is>
      </x:c>
      <x:c r="H3" s="3" t="inlineStr">
        <x:is>
          <x:t xml:space="preserve">Defect ID</x:t>
        </x:is>
      </x:c>
      <x:c r="I3" s="3" t="inlineStr">
        <x:is>
          <x:t xml:space="preserve">Comments</x:t>
        </x:is>
      </x:c>
    </x:row>
    <x:row r="4">
      <x:c r="A4" s="5" t="inlineStr">
        <x:is>
          <x:t xml:space="preserve">EXE-001</x:t>
        </x:is>
      </x:c>
      <x:c r="B4" s="5" t="inlineStr">
        <x:is>
          <x:t xml:space="preserve">EVT-ORD-001</x:t>
        </x:is>
      </x:c>
      <x:c r="C4" s="5" t="inlineStr">
        <x:is>
          <x:t xml:space="preserve">Order Service</x:t>
        </x:is>
      </x:c>
      <x:c r="D4" s="5" t="inlineStr">
        <x:is>
          <x:t xml:space="preserve">Ramon Tan Jr</x:t>
        </x:is>
      </x:c>
      <x:c r="E4" s="5" t="inlineStr">
        <x:is>
          <x:t xml:space="preserve">2026-04-06</x:t>
        </x:is>
      </x:c>
      <x:c r="F4" s="5" t="inlineStr">
        <x:is>
          <x:t xml:space="preserve">Order created and event published successfully</x:t>
        </x:is>
      </x:c>
      <x:c r="G4" s="16" t="inlineStr">
        <x:is>
          <x:t xml:space="preserve">Pass</x:t>
        </x:is>
      </x:c>
      <x:c r="H4" s="5" t="inlineStr">
        <x:is>
          <x:t xml:space="preserve"/>
        </x:is>
      </x:c>
      <x:c r="I4" s="5" t="inlineStr">
        <x:is>
          <x:t xml:space="preserve"/>
        </x:is>
      </x:c>
    </x:row>
    <x:row r="5">
      <x:c r="A5" s="5" t="inlineStr">
        <x:is>
          <x:t xml:space="preserve">EXE-002</x:t>
        </x:is>
      </x:c>
      <x:c r="B5" s="5" t="inlineStr">
        <x:is>
          <x:t xml:space="preserve">EVT-PAY-003</x:t>
        </x:is>
      </x:c>
      <x:c r="C5" s="5" t="inlineStr">
        <x:is>
          <x:t xml:space="preserve">Payment Service</x:t>
        </x:is>
      </x:c>
      <x:c r="D5" s="5" t="inlineStr">
        <x:is>
          <x:t xml:space="preserve">Ramon Tan Jr</x:t>
        </x:is>
      </x:c>
      <x:c r="E5" s="5" t="inlineStr">
        <x:is>
          <x:t xml:space="preserve">2026-04-06</x:t>
        </x:is>
      </x:c>
      <x:c r="F5" s="5" t="inlineStr">
        <x:is>
          <x:t xml:space="preserve">Duplicate event caused second payment attempt</x:t>
        </x:is>
      </x:c>
      <x:c r="G5" s="17" t="inlineStr">
        <x:is>
          <x:t xml:space="preserve">Fail</x:t>
        </x:is>
      </x:c>
      <x:c r="H5" s="5" t="inlineStr">
        <x:is>
          <x:t xml:space="preserve">BUG-001</x:t>
        </x:is>
      </x:c>
      <x:c r="I5" s="5" t="inlineStr">
        <x:is>
          <x:t xml:space="preserve">Idempotency issue</x:t>
        </x:is>
      </x:c>
    </x:row>
    <x:row r="6">
      <x:c r="A6" s="5" t="inlineStr">
        <x:is>
          <x:t xml:space="preserve">EXE-003</x:t>
        </x:is>
      </x:c>
      <x:c r="B6" s="5" t="inlineStr">
        <x:is>
          <x:t xml:space="preserve">EVT-E2E-005</x:t>
        </x:is>
      </x:c>
      <x:c r="C6" s="5" t="inlineStr">
        <x:is>
          <x:t xml:space="preserve">End-to-End</x:t>
        </x:is>
      </x:c>
      <x:c r="D6" s="5" t="inlineStr">
        <x:is>
          <x:t xml:space="preserve">Ramon Tan Jr</x:t>
        </x:is>
      </x:c>
      <x:c r="E6" s="5" t="inlineStr">
        <x:is>
          <x:t xml:space="preserve">2026-04-06</x:t>
        </x:is>
      </x:c>
      <x:c r="F6" s="5" t="inlineStr">
        <x:is>
          <x:t xml:space="preserve">Final state updated after acceptable delay</x:t>
        </x:is>
      </x:c>
      <x:c r="G6" s="16" t="inlineStr">
        <x:is>
          <x:t xml:space="preserve">Pass</x:t>
        </x:is>
      </x:c>
      <x:c r="H6" s="5" t="inlineStr">
        <x:is>
          <x:t xml:space="preserve"/>
        </x:is>
      </x:c>
      <x:c r="I6" s="5" t="inlineStr">
        <x:is>
          <x:t xml:space="preserve"/>
        </x:is>
      </x:c>
    </x:row>
  </x:sheetData>
  <x:mergeCells>
    <x:mergeCell ref="A1:I1"/>
  </x:mergeCells>
  <x:dataValidations count="1">
    <x:dataValidation type="list" allowBlank="0" showDropDown="0" showInputMessage="0" showErrorMessage="0" sqref="G4:G200">
      <x:formula1>"Pass,Fail,Blocked,Not Run"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6" customWidth="1"/>
    <x:col min="3" max="3" width="18" customWidth="1"/>
    <x:col min="4" max="4" width="34" customWidth="1"/>
    <x:col min="5" max="5" width="10" customWidth="1"/>
    <x:col min="6" max="6" width="10" customWidth="1"/>
    <x:col min="7" max="7" width="10" customWidth="1"/>
    <x:col min="8" max="8" width="32" customWidth="1"/>
    <x:col min="9" max="9" width="28" customWidth="1"/>
    <x:col min="10" max="10" width="28" customWidth="1"/>
  </x:cols>
  <x:sheetData>
    <x:row r="1">
      <x:c r="A1" s="15" t="inlineStr">
        <x:is>
          <x:t xml:space="preserve">Defect Log</x:t>
        </x:is>
      </x:c>
    </x:row>
    <x:row r="3">
      <x:c r="A3" s="3" t="inlineStr">
        <x:is>
          <x:t xml:space="preserve">Defect ID</x:t>
        </x:is>
      </x:c>
      <x:c r="B3" s="3" t="inlineStr">
        <x:is>
          <x:t xml:space="preserve">Linked Test Case ID</x:t>
        </x:is>
      </x:c>
      <x:c r="C3" s="3" t="inlineStr">
        <x:is>
          <x:t xml:space="preserve">Module</x:t>
        </x:is>
      </x:c>
      <x:c r="D3" s="3" t="inlineStr">
        <x:is>
          <x:t xml:space="preserve">Summary</x:t>
        </x:is>
      </x:c>
      <x:c r="E3" s="3" t="inlineStr">
        <x:is>
          <x:t xml:space="preserve">Severity</x:t>
        </x:is>
      </x:c>
      <x:c r="F3" s="3" t="inlineStr">
        <x:is>
          <x:t xml:space="preserve">Priority</x:t>
        </x:is>
      </x:c>
      <x:c r="G3" s="3" t="inlineStr">
        <x:is>
          <x:t xml:space="preserve">Status</x:t>
        </x:is>
      </x:c>
      <x:c r="H3" s="3" t="inlineStr">
        <x:is>
          <x:t xml:space="preserve">Steps to Reproduce</x:t>
        </x:is>
      </x:c>
      <x:c r="I3" s="3" t="inlineStr">
        <x:is>
          <x:t xml:space="preserve">Expected Result</x:t>
        </x:is>
      </x:c>
      <x:c r="J3" s="3" t="inlineStr">
        <x:is>
          <x:t xml:space="preserve">Actual Result</x:t>
        </x:is>
      </x:c>
    </x:row>
    <x:row r="4">
      <x:c r="A4" s="5" t="inlineStr">
        <x:is>
          <x:t xml:space="preserve">BUG-001</x:t>
        </x:is>
      </x:c>
      <x:c r="B4" s="5" t="inlineStr">
        <x:is>
          <x:t xml:space="preserve">EVT-PAY-003</x:t>
        </x:is>
      </x:c>
      <x:c r="C4" s="5" t="inlineStr">
        <x:is>
          <x:t xml:space="preserve">Payment Service</x:t>
        </x:is>
      </x:c>
      <x:c r="D4" s="5" t="inlineStr">
        <x:is>
          <x:t xml:space="preserve">Duplicate event triggered double payment processing</x:t>
        </x:is>
      </x:c>
      <x:c r="E4" s="17" t="inlineStr">
        <x:is>
          <x:t xml:space="preserve">Critical</x:t>
        </x:is>
      </x:c>
      <x:c r="F4" s="5" t="inlineStr">
        <x:is>
          <x:t xml:space="preserve">High</x:t>
        </x:is>
      </x:c>
      <x:c r="G4" s="5" t="inlineStr">
        <x:is>
          <x:t xml:space="preserve">Open</x:t>
        </x:is>
      </x:c>
      <x:c r="H4" s="5" t="inlineStr">
        <x:is>
          <x:t xml:space="preserve">Replay same `order.created` twice</x:t>
        </x:is>
      </x:c>
      <x:c r="I4" s="5" t="inlineStr">
        <x:is>
          <x:t xml:space="preserve">Payment processed once only</x:t>
        </x:is>
      </x:c>
      <x:c r="J4" s="5" t="inlineStr">
        <x:is>
          <x:t xml:space="preserve">Payment processed twice</x:t>
        </x:is>
      </x:c>
    </x:row>
    <x:row r="5">
      <x:c r="A5" s="5" t="inlineStr">
        <x:is>
          <x:t xml:space="preserve">BUG-002</x:t>
        </x:is>
      </x:c>
      <x:c r="B5" s="5" t="inlineStr">
        <x:is>
          <x:t xml:space="preserve">EVT-INV-005</x:t>
        </x:is>
      </x:c>
      <x:c r="C5" s="5" t="inlineStr">
        <x:is>
          <x:t xml:space="preserve">Inventory Service</x:t>
        </x:is>
      </x:c>
      <x:c r="D5" s="5" t="inlineStr">
        <x:is>
          <x:t xml:space="preserve">Out-of-order event not rejected safely</x:t>
        </x:is>
      </x:c>
      <x:c r="E5" s="18" t="inlineStr">
        <x:is>
          <x:t xml:space="preserve">High</x:t>
        </x:is>
      </x:c>
      <x:c r="F5" s="5" t="inlineStr">
        <x:is>
          <x:t xml:space="preserve">High</x:t>
        </x:is>
      </x:c>
      <x:c r="G5" s="5" t="inlineStr">
        <x:is>
          <x:t xml:space="preserve">Open</x:t>
        </x:is>
      </x:c>
      <x:c r="H5" s="5" t="inlineStr">
        <x:is>
          <x:t xml:space="preserve">Send inventory event before payment authorization</x:t>
        </x:is>
      </x:c>
      <x:c r="I5" s="5" t="inlineStr">
        <x:is>
          <x:t xml:space="preserve">Invalid sequence safely ignored</x:t>
        </x:is>
      </x:c>
      <x:c r="J5" s="5" t="inlineStr">
        <x:is>
          <x:t xml:space="preserve">Inventory attempted processing</x:t>
        </x:is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48" customWidth="1"/>
    <x:col min="3" max="3" width="34" customWidth="1"/>
    <x:col min="4" max="4" width="16" customWidth="1"/>
    <x:col min="5" max="5" width="10" customWidth="1"/>
    <x:col min="6" max="6" width="14" customWidth="1"/>
  </x:cols>
  <x:sheetData>
    <x:row r="1">
      <x:c r="A1" s="15" t="inlineStr">
        <x:is>
          <x:t xml:space="preserve">Requirements Traceability Matrix</x:t>
        </x:is>
      </x:c>
    </x:row>
    <x:row r="3">
      <x:c r="A3" s="3" t="inlineStr">
        <x:is>
          <x:t xml:space="preserve">Requirement ID</x:t>
        </x:is>
      </x:c>
      <x:c r="B3" s="3" t="inlineStr">
        <x:is>
          <x:t xml:space="preserve">Requirement Description</x:t>
        </x:is>
      </x:c>
      <x:c r="C3" s="3" t="inlineStr">
        <x:is>
          <x:t xml:space="preserve">Test Case ID</x:t>
        </x:is>
      </x:c>
      <x:c r="D3" s="3" t="inlineStr">
        <x:is>
          <x:t xml:space="preserve">Module</x:t>
        </x:is>
      </x:c>
      <x:c r="E3" s="3" t="inlineStr">
        <x:is>
          <x:t xml:space="preserve">Priority</x:t>
        </x:is>
      </x:c>
      <x:c r="F3" s="3" t="inlineStr">
        <x:is>
          <x:t xml:space="preserve">Coverage Status</x:t>
        </x:is>
      </x:c>
    </x:row>
    <x:row r="4">
      <x:c r="A4" s="5" t="inlineStr">
        <x:is>
          <x:t xml:space="preserve">REQ-001</x:t>
        </x:is>
      </x:c>
      <x:c r="B4" s="5" t="inlineStr">
        <x:is>
          <x:t xml:space="preserve">System must publish `order.created` for valid order</x:t>
        </x:is>
      </x:c>
      <x:c r="C4" s="5" t="inlineStr">
        <x:is>
          <x:t xml:space="preserve">EVT-ORD-001, EVT-ORD-003</x:t>
        </x:is>
      </x:c>
      <x:c r="D4" s="5" t="inlineStr">
        <x:is>
          <x:t xml:space="preserve">Order Service</x:t>
        </x:is>
      </x:c>
      <x:c r="E4" s="5" t="inlineStr">
        <x:is>
          <x:t xml:space="preserve">High</x:t>
        </x:is>
      </x:c>
      <x:c r="F4" s="5" t="inlineStr">
        <x:is>
          <x:t xml:space="preserve">Covered</x:t>
        </x:is>
      </x:c>
    </x:row>
    <x:row r="5">
      <x:c r="A5" s="5" t="inlineStr">
        <x:is>
          <x:t xml:space="preserve">REQ-002</x:t>
        </x:is>
      </x:c>
      <x:c r="B5" s="5" t="inlineStr">
        <x:is>
          <x:t xml:space="preserve">System must prevent duplicate payment processing</x:t>
        </x:is>
      </x:c>
      <x:c r="C5" s="5" t="inlineStr">
        <x:is>
          <x:t xml:space="preserve">EVT-PAY-003</x:t>
        </x:is>
      </x:c>
      <x:c r="D5" s="5" t="inlineStr">
        <x:is>
          <x:t xml:space="preserve">Payment Service</x:t>
        </x:is>
      </x:c>
      <x:c r="E5" s="5" t="inlineStr">
        <x:is>
          <x:t xml:space="preserve">High</x:t>
        </x:is>
      </x:c>
      <x:c r="F5" s="5" t="inlineStr">
        <x:is>
          <x:t xml:space="preserve">Covered</x:t>
        </x:is>
      </x:c>
    </x:row>
    <x:row r="6">
      <x:c r="A6" s="5" t="inlineStr">
        <x:is>
          <x:t xml:space="preserve">REQ-003</x:t>
        </x:is>
      </x:c>
      <x:c r="B6" s="5" t="inlineStr">
        <x:is>
          <x:t xml:space="preserve">System must reserve inventory only after payment authorization</x:t>
        </x:is>
      </x:c>
      <x:c r="C6" s="5" t="inlineStr">
        <x:is>
          <x:t xml:space="preserve">EVT-INV-001, EVT-INV-004, EVT-INV-005</x:t>
        </x:is>
      </x:c>
      <x:c r="D6" s="5" t="inlineStr">
        <x:is>
          <x:t xml:space="preserve">Inventory Service</x:t>
        </x:is>
      </x:c>
      <x:c r="E6" s="5" t="inlineStr">
        <x:is>
          <x:t xml:space="preserve">High</x:t>
        </x:is>
      </x:c>
      <x:c r="F6" s="5" t="inlineStr">
        <x:is>
          <x:t xml:space="preserve">Covered</x:t>
        </x:is>
      </x:c>
    </x:row>
    <x:row r="7">
      <x:c r="A7" s="5" t="inlineStr">
        <x:is>
          <x:t xml:space="preserve">REQ-004</x:t>
        </x:is>
      </x:c>
      <x:c r="B7" s="5" t="inlineStr">
        <x:is>
          <x:t xml:space="preserve">System must maintain consistent final order state across async processing</x:t>
        </x:is>
      </x:c>
      <x:c r="C7" s="5" t="inlineStr">
        <x:is>
          <x:t xml:space="preserve">EVT-E2E-001, EVT-E2E-005, EVT-E2E-006</x:t>
        </x:is>
      </x:c>
      <x:c r="D7" s="5" t="inlineStr">
        <x:is>
          <x:t xml:space="preserve">End-to-End</x:t>
        </x:is>
      </x:c>
      <x:c r="E7" s="5" t="inlineStr">
        <x:is>
          <x:t xml:space="preserve">High</x:t>
        </x:is>
      </x:c>
      <x:c r="F7" s="5" t="inlineStr">
        <x:is>
          <x:t xml:space="preserve">Covered</x:t>
        </x:is>
      </x:c>
    </x:row>
    <x:row r="8">
      <x:c r="A8" s="5" t="inlineStr">
        <x:is>
          <x:t xml:space="preserve">REQ-005</x:t>
        </x:is>
      </x:c>
      <x:c r="B8" s="5" t="inlineStr">
        <x:is>
          <x:t xml:space="preserve">System must handle invalid events safely</x:t>
        </x:is>
      </x:c>
      <x:c r="C8" s="5" t="inlineStr">
        <x:is>
          <x:t xml:space="preserve">EVT-PAY-004, EVT-ERR-001, EVT-ERR-002</x:t>
        </x:is>
      </x:c>
      <x:c r="D8" s="5" t="inlineStr">
        <x:is>
          <x:t xml:space="preserve">Error Handling</x:t>
        </x:is>
      </x:c>
      <x:c r="E8" s="5" t="inlineStr">
        <x:is>
          <x:t xml:space="preserve">High</x:t>
        </x:is>
      </x:c>
      <x:c r="F8" s="5" t="inlineStr">
        <x:is>
          <x:t xml:space="preserve">Covered</x:t>
        </x:is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8" customWidth="1"/>
    <x:col min="3" max="3" width="42" customWidth="1"/>
    <x:col min="4" max="4" width="18" customWidth="1"/>
  </x:cols>
  <x:sheetData>
    <x:row r="1">
      <x:c r="A1" s="15" t="inlineStr">
        <x:is>
          <x:t xml:space="preserve">Test Data Register</x:t>
        </x:is>
      </x:c>
    </x:row>
    <x:row r="3">
      <x:c r="A3" s="3" t="inlineStr">
        <x:is>
          <x:t xml:space="preserve">Data ID</x:t>
        </x:is>
      </x:c>
      <x:c r="B3" s="3" t="inlineStr">
        <x:is>
          <x:t xml:space="preserve">Scenario</x:t>
        </x:is>
      </x:c>
      <x:c r="C3" s="3" t="inlineStr">
        <x:is>
          <x:t xml:space="preserve">Input Data</x:t>
        </x:is>
      </x:c>
      <x:c r="D3" s="3" t="inlineStr">
        <x:is>
          <x:t xml:space="preserve">Notes</x:t>
        </x:is>
      </x:c>
    </x:row>
    <x:row r="4">
      <x:c r="A4" s="5" t="inlineStr">
        <x:is>
          <x:t xml:space="preserve">TD-001</x:t>
        </x:is>
      </x:c>
      <x:c r="B4" s="5" t="inlineStr">
        <x:is>
          <x:t xml:space="preserve">Valid Order</x:t>
        </x:is>
      </x:c>
      <x:c r="C4" s="5" t="inlineStr">
        <x:is>
          <x:t xml:space="preserve">customerId=1001, itemId=SKU-001, qty=2, amount=120.00</x:t>
        </x:is>
      </x:c>
      <x:c r="D4" s="5" t="inlineStr">
        <x:is>
          <x:t xml:space="preserve">Happy path</x:t>
        </x:is>
      </x:c>
    </x:row>
    <x:row r="5">
      <x:c r="A5" s="5" t="inlineStr">
        <x:is>
          <x:t xml:space="preserve">TD-002</x:t>
        </x:is>
      </x:c>
      <x:c r="B5" s="5" t="inlineStr">
        <x:is>
          <x:t xml:space="preserve">Invalid Order</x:t>
        </x:is>
      </x:c>
      <x:c r="C5" s="5" t="inlineStr">
        <x:is>
          <x:t xml:space="preserve">missing customerId</x:t>
        </x:is>
      </x:c>
      <x:c r="D5" s="5" t="inlineStr">
        <x:is>
          <x:t xml:space="preserve">Validation case</x:t>
        </x:is>
      </x:c>
    </x:row>
    <x:row r="6">
      <x:c r="A6" s="5" t="inlineStr">
        <x:is>
          <x:t xml:space="preserve">TD-003</x:t>
        </x:is>
      </x:c>
      <x:c r="B6" s="5" t="inlineStr">
        <x:is>
          <x:t xml:space="preserve">Declined Payment</x:t>
        </x:is>
      </x:c>
      <x:c r="C6" s="5" t="inlineStr">
        <x:is>
          <x:t xml:space="preserve">paymentToken=DECLINED-001</x:t>
        </x:is>
      </x:c>
      <x:c r="D6" s="5" t="inlineStr">
        <x:is>
          <x:t xml:space="preserve">Failure path</x:t>
        </x:is>
      </x:c>
    </x:row>
    <x:row r="7">
      <x:c r="A7" s="5" t="inlineStr">
        <x:is>
          <x:t xml:space="preserve">TD-004</x:t>
        </x:is>
      </x:c>
      <x:c r="B7" s="5" t="inlineStr">
        <x:is>
          <x:t xml:space="preserve">Low Stock</x:t>
        </x:is>
      </x:c>
      <x:c r="C7" s="5" t="inlineStr">
        <x:is>
          <x:t xml:space="preserve">itemId=SKU-LOW, qty=99</x:t>
        </x:is>
      </x:c>
      <x:c r="D7" s="5" t="inlineStr">
        <x:is>
          <x:t xml:space="preserve">Inventory failure</x:t>
        </x:is>
      </x:c>
    </x:row>
    <x:row r="8">
      <x:c r="A8" s="5" t="inlineStr">
        <x:is>
          <x:t xml:space="preserve">TD-005</x:t>
        </x:is>
      </x:c>
      <x:c r="B8" s="5" t="inlineStr">
        <x:is>
          <x:t xml:space="preserve">Duplicate Event</x:t>
        </x:is>
      </x:c>
      <x:c r="C8" s="5" t="inlineStr">
        <x:is>
          <x:t xml:space="preserve">same orderId replayed twice</x:t>
        </x:is>
      </x:c>
      <x:c r="D8" s="5" t="inlineStr">
        <x:is>
          <x:t xml:space="preserve">Idempotency</x:t>
        </x:is>
      </x:c>
    </x:row>
    <x:row r="9">
      <x:c r="A9" s="5" t="inlineStr">
        <x:is>
          <x:t xml:space="preserve">TD-006</x:t>
        </x:is>
      </x:c>
      <x:c r="B9" s="5" t="inlineStr">
        <x:is>
          <x:t xml:space="preserve">Malformed Event</x:t>
        </x:is>
      </x:c>
      <x:c r="C9" s="5" t="inlineStr">
        <x:is>
          <x:t xml:space="preserve">missing orderId / wrong datatype</x:t>
        </x:is>
      </x:c>
      <x:c r="D9" s="5" t="inlineStr">
        <x:is>
          <x:t xml:space="preserve">Error handling</x:t>
        </x:is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6" customWidth="1"/>
    <x:col min="3" max="3" width="42" customWidth="1"/>
    <x:col min="4" max="4" width="44" customWidth="1"/>
  </x:cols>
  <x:sheetData>
    <x:row r="1">
      <x:c r="A1" s="15" t="inlineStr">
        <x:is>
          <x:t xml:space="preserve">Manual-to-Automation Coverage Map</x:t>
        </x:is>
      </x:c>
    </x:row>
    <x:row r="3">
      <x:c r="A3" s="3" t="inlineStr">
        <x:is>
          <x:t xml:space="preserve">Priority Batch</x:t>
        </x:is>
      </x:c>
      <x:c r="B3" s="3" t="inlineStr">
        <x:is>
          <x:t xml:space="preserve">Test Case ID</x:t>
        </x:is>
      </x:c>
      <x:c r="C3" s="3" t="inlineStr">
        <x:is>
          <x:t xml:space="preserve">Automation Scope</x:t>
        </x:is>
      </x:c>
      <x:c r="D3" s="3" t="inlineStr">
        <x:is>
          <x:t xml:space="preserve">Script Path</x:t>
        </x:is>
      </x:c>
    </x:row>
    <x:row r="4">
      <x:c r="A4" s="5" t="inlineStr">
        <x:is>
          <x:t xml:space="preserve">Priority 1</x:t>
        </x:is>
      </x:c>
      <x:c r="B4" s="5" t="inlineStr">
        <x:is>
          <x:t xml:space="preserve">EVT-ORD-001</x:t>
        </x:is>
      </x:c>
      <x:c r="C4" s="5" t="inlineStr">
        <x:is>
          <x:t xml:space="preserve">POST /orders creates order and publishes event</x:t>
        </x:is>
      </x:c>
      <x:c r="D4" s="5" t="inlineStr">
        <x:is>
          <x:t xml:space="preserve">automated-tests/api/create-order.spec.js</x:t>
        </x:is>
      </x:c>
    </x:row>
    <x:row r="5">
      <x:c r="A5" s="5" t="inlineStr">
        <x:is>
          <x:t xml:space="preserve">Priority 1</x:t>
        </x:is>
      </x:c>
      <x:c r="B5" s="5" t="inlineStr">
        <x:is>
          <x:t xml:space="preserve">EVT-PAY-001</x:t>
        </x:is>
      </x:c>
      <x:c r="C5" s="5" t="inlineStr">
        <x:is>
          <x:t xml:space="preserve">Happy-path payment authorization from consumed event</x:t>
        </x:is>
      </x:c>
      <x:c r="D5" s="5" t="inlineStr">
        <x:is>
          <x:t xml:space="preserve">automated-tests/integration/order-to-payment.spec.js</x:t>
        </x:is>
      </x:c>
    </x:row>
    <x:row r="6">
      <x:c r="A6" s="5" t="inlineStr">
        <x:is>
          <x:t xml:space="preserve">Priority 1</x:t>
        </x:is>
      </x:c>
      <x:c r="B6" s="5" t="inlineStr">
        <x:is>
          <x:t xml:space="preserve">EVT-INV-001</x:t>
        </x:is>
      </x:c>
      <x:c r="C6" s="5" t="inlineStr">
        <x:is>
          <x:t xml:space="preserve">Happy-path inventory reservation after payment</x:t>
        </x:is>
      </x:c>
      <x:c r="D6" s="5" t="inlineStr">
        <x:is>
          <x:t xml:space="preserve">automated-tests/integration/payment-to-inventory.spec.js</x:t>
        </x:is>
      </x:c>
    </x:row>
    <x:row r="7">
      <x:c r="A7" s="5" t="inlineStr">
        <x:is>
          <x:t xml:space="preserve">Priority 1</x:t>
        </x:is>
      </x:c>
      <x:c r="B7" s="5" t="inlineStr">
        <x:is>
          <x:t xml:space="preserve">EVT-E2E-001</x:t>
        </x:is>
      </x:c>
      <x:c r="C7" s="5" t="inlineStr">
        <x:is>
          <x:t xml:space="preserve">Complete flow from order to notification</x:t>
        </x:is>
      </x:c>
      <x:c r="D7" s="5" t="inlineStr">
        <x:is>
          <x:t xml:space="preserve">automated-tests/integration/end-to-end-event-flow.spec.js</x:t>
        </x:is>
      </x:c>
    </x:row>
    <x:row r="8">
      <x:c r="A8" s="5" t="inlineStr">
        <x:is>
          <x:t xml:space="preserve">Priority 1</x:t>
        </x:is>
      </x:c>
      <x:c r="B8" s="5" t="inlineStr">
        <x:is>
          <x:t xml:space="preserve">EVT-E2E-004</x:t>
        </x:is>
      </x:c>
      <x:c r="C8" s="5" t="inlineStr">
        <x:is>
          <x:t xml:space="preserve">Correct event order across services</x:t>
        </x:is>
      </x:c>
      <x:c r="D8" s="5" t="inlineStr">
        <x:is>
          <x:t xml:space="preserve">automated-tests/event/event-sequence.spec.js</x:t>
        </x:is>
      </x:c>
    </x:row>
    <x:row r="9">
      <x:c r="A9" s="5" t="inlineStr">
        <x:is>
          <x:t xml:space="preserve">Priority 1</x:t>
        </x:is>
      </x:c>
      <x:c r="B9" s="5" t="inlineStr">
        <x:is>
          <x:t xml:space="preserve">EVT-E2E-006</x:t>
        </x:is>
      </x:c>
      <x:c r="C9" s="5" t="inlineStr">
        <x:is>
          <x:t xml:space="preserve">Final DB/audit state reconciliation</x:t>
        </x:is>
      </x:c>
      <x:c r="D9" s="5" t="inlineStr">
        <x:is>
          <x:t xml:space="preserve">automated-tests/integration/end-to-end-event-flow.spec.js</x:t>
        </x:is>
      </x:c>
    </x:row>
    <x:row r="10">
      <x:c r="A10" s="5" t="inlineStr">
        <x:is>
          <x:t xml:space="preserve">Priority 2</x:t>
        </x:is>
      </x:c>
      <x:c r="B10" s="5" t="inlineStr">
        <x:is>
          <x:t xml:space="preserve">EVT-PAY-003</x:t>
        </x:is>
      </x:c>
      <x:c r="C10" s="5" t="inlineStr">
        <x:is>
          <x:t xml:space="preserve">Duplicate event does not trigger double charge</x:t>
        </x:is>
      </x:c>
      <x:c r="D10" s="5" t="inlineStr">
        <x:is>
          <x:t xml:space="preserve">automated-tests/event/duplicate-event.spec.js</x:t>
        </x:is>
      </x:c>
    </x:row>
    <x:row r="11">
      <x:c r="A11" s="5" t="inlineStr">
        <x:is>
          <x:t xml:space="preserve">Priority 2</x:t>
        </x:is>
      </x:c>
      <x:c r="B11" s="5" t="inlineStr">
        <x:is>
          <x:t xml:space="preserve">EVT-PAY-004</x:t>
        </x:is>
      </x:c>
      <x:c r="C11" s="5" t="inlineStr">
        <x:is>
          <x:t xml:space="preserve">Malformed order event rejected</x:t>
        </x:is>
      </x:c>
      <x:c r="D11" s="5" t="inlineStr">
        <x:is>
          <x:t xml:space="preserve">automated-tests/event/poison-message.spec.js</x:t>
        </x:is>
      </x:c>
    </x:row>
    <x:row r="12">
      <x:c r="A12" s="5" t="inlineStr">
        <x:is>
          <x:t xml:space="preserve">Priority 2</x:t>
        </x:is>
      </x:c>
      <x:c r="B12" s="5" t="inlineStr">
        <x:is>
          <x:t xml:space="preserve">EVT-INV-003</x:t>
        </x:is>
      </x:c>
      <x:c r="C12" s="5" t="inlineStr">
        <x:is>
          <x:t xml:space="preserve">Duplicate payment event does not double reserve</x:t>
        </x:is>
      </x:c>
      <x:c r="D12" s="5" t="inlineStr">
        <x:is>
          <x:t xml:space="preserve">automated-tests/event/duplicate-event.spec.js</x:t>
        </x:is>
      </x:c>
    </x:row>
    <x:row r="13">
      <x:c r="A13" s="5" t="inlineStr">
        <x:is>
          <x:t xml:space="preserve">Priority 2</x:t>
        </x:is>
      </x:c>
      <x:c r="B13" s="5" t="inlineStr">
        <x:is>
          <x:t xml:space="preserve">EVT-E2E-002</x:t>
        </x:is>
      </x:c>
      <x:c r="C13" s="5" t="inlineStr">
        <x:is>
          <x:t xml:space="preserve">Stop downstream flow when payment fails</x:t>
        </x:is>
      </x:c>
      <x:c r="D13" s="5" t="inlineStr">
        <x:is>
          <x:t xml:space="preserve">automated-tests/integration/payment-to-inventory.spec.js</x:t>
        </x:is>
      </x:c>
    </x:row>
    <x:row r="14">
      <x:c r="A14" s="5" t="inlineStr">
        <x:is>
          <x:t xml:space="preserve">Priority 2</x:t>
        </x:is>
      </x:c>
      <x:c r="B14" s="5" t="inlineStr">
        <x:is>
          <x:t xml:space="preserve">EVT-E2E-003</x:t>
        </x:is>
      </x:c>
      <x:c r="C14" s="5" t="inlineStr">
        <x:is>
          <x:t xml:space="preserve">Handle payment-success / inventory-failure path</x:t>
        </x:is>
      </x:c>
      <x:c r="D14" s="5" t="inlineStr">
        <x:is>
          <x:t xml:space="preserve">automated-tests/integration/payment-to-inventory.spec.js</x:t>
        </x:is>
      </x:c>
    </x:row>
    <x:row r="15">
      <x:c r="A15" s="5" t="inlineStr">
        <x:is>
          <x:t xml:space="preserve">Priority 3</x:t>
        </x:is>
      </x:c>
      <x:c r="B15" s="5" t="inlineStr">
        <x:is>
          <x:t xml:space="preserve">EVT-ERR-001</x:t>
        </x:is>
      </x:c>
      <x:c r="C15" s="5" t="inlineStr">
        <x:is>
          <x:t xml:space="preserve">DLQ handling for bad messages</x:t>
        </x:is>
      </x:c>
      <x:c r="D15" s="5" t="inlineStr">
        <x:is>
          <x:t xml:space="preserve">automated-tests/event/poison-message.spec.js</x:t>
        </x:is>
      </x:c>
    </x:row>
    <x:row r="16">
      <x:c r="A16" s="5" t="inlineStr">
        <x:is>
          <x:t xml:space="preserve">Priority 3</x:t>
        </x:is>
      </x:c>
      <x:c r="B16" s="5" t="inlineStr">
        <x:is>
          <x:t xml:space="preserve">EVT-ERR-002</x:t>
        </x:is>
      </x:c>
      <x:c r="C16" s="5" t="inlineStr">
        <x:is>
          <x:t xml:space="preserve">Poison message isolation</x:t>
        </x:is>
      </x:c>
      <x:c r="D16" s="5" t="inlineStr">
        <x:is>
          <x:t xml:space="preserve">automated-tests/event/poison-message.spec.js</x:t>
        </x:is>
      </x:c>
    </x:row>
    <x:row r="17">
      <x:c r="A17" s="5" t="inlineStr">
        <x:is>
          <x:t xml:space="preserve">Priority 3</x:t>
        </x:is>
      </x:c>
      <x:c r="B17" s="5" t="inlineStr">
        <x:is>
          <x:t xml:space="preserve">EVT-ERR-003</x:t>
        </x:is>
      </x:c>
      <x:c r="C17" s="5" t="inlineStr">
        <x:is>
          <x:t xml:space="preserve">Consumer restart and resume</x:t>
        </x:is>
      </x:c>
      <x:c r="D17" s="5" t="inlineStr">
        <x:is>
          <x:t xml:space="preserve">automated-tests/event/retry-behavior.spec.js</x:t>
        </x:is>
      </x:c>
    </x:row>
    <x:row r="18">
      <x:c r="A18" s="5" t="inlineStr">
        <x:is>
          <x:t xml:space="preserve">Priority 3</x:t>
        </x:is>
      </x:c>
      <x:c r="B18" s="5" t="inlineStr">
        <x:is>
          <x:t xml:space="preserve">EVT-E2E-005</x:t>
        </x:is>
      </x:c>
      <x:c r="C18" s="5" t="inlineStr">
        <x:is>
          <x:t xml:space="preserve">Eventual consistency within timeout window</x:t>
        </x:is>
      </x:c>
      <x:c r="D18" s="5" t="inlineStr">
        <x:is>
          <x:t xml:space="preserve">automated-tests/event/retry-behavior.spec.js</x:t>
        </x:is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4" customWidth="1"/>
    <x:col min="4" max="4" width="24" customWidth="1"/>
    <x:col min="5" max="5" width="14" customWidth="1"/>
    <x:col min="7" max="7" width="24" customWidth="1"/>
    <x:col min="8" max="8" width="14" customWidth="1"/>
  </x:cols>
  <x:sheetData>
    <x:row r="1">
      <x:c r="A1" s="1" t="inlineStr">
        <x:is>
          <x:t xml:space="preserve">Summary Dashboard</x:t>
        </x:is>
      </x:c>
    </x:row>
    <x:row r="3">
      <x:c r="A3" s="19" t="inlineStr">
        <x:is>
          <x:t xml:space="preserve">Overall Metrics</x:t>
        </x:is>
      </x:c>
      <x:c r="D3" s="19" t="inlineStr">
        <x:is>
          <x:t xml:space="preserve">Module Coverage</x:t>
        </x:is>
      </x:c>
      <x:c r="G3" s="19" t="inlineStr">
        <x:is>
          <x:t xml:space="preserve">Status Snapshot</x:t>
        </x:is>
      </x:c>
    </x:row>
    <x:row r="4">
      <x:c r="A4" s="20" t="inlineStr">
        <x:is>
          <x:t xml:space="preserve">Total Test Cases</x:t>
        </x:is>
      </x:c>
      <x:c r="B4" s="21">
        <x:f>COUNTA(Test_Cases!A5:A200)</x:f>
        <x:v>31</x:v>
      </x:c>
      <x:c r="D4" s="22" t="inlineStr">
        <x:is>
          <x:t xml:space="preserve">Order Service</x:t>
        </x:is>
      </x:c>
      <x:c r="E4" s="23">
        <x:f>COUNTIF(Test_Cases!B:B,"Order Service")</x:f>
        <x:v>6</x:v>
      </x:c>
      <x:c r="G4" s="22" t="inlineStr">
        <x:is>
          <x:t xml:space="preserve">Open Defects</x:t>
        </x:is>
      </x:c>
      <x:c r="H4" s="23">
        <x:f>COUNTIF(Defect_Log!G4:G200,"Open")</x:f>
        <x:v>2</x:v>
      </x:c>
    </x:row>
    <x:row r="5">
      <x:c r="A5" s="20" t="inlineStr">
        <x:is>
          <x:t xml:space="preserve">Passed</x:t>
        </x:is>
      </x:c>
      <x:c r="B5" s="21">
        <x:f>COUNTIF(Execution_Report!G4:G200,"Pass")</x:f>
        <x:v>2</x:v>
      </x:c>
      <x:c r="D5" s="22" t="inlineStr">
        <x:is>
          <x:t xml:space="preserve">Payment Service</x:t>
        </x:is>
      </x:c>
      <x:c r="E5" s="23">
        <x:f>COUNTIF(Test_Cases!B:B,"Payment Service")</x:f>
        <x:v>6</x:v>
      </x:c>
      <x:c r="G5" s="22" t="inlineStr">
        <x:is>
          <x:t xml:space="preserve">Automation Candidates</x:t>
        </x:is>
      </x:c>
      <x:c r="H5" s="23">
        <x:f>COUNTIF(Test_Cases!N5:N200,"Yes")</x:f>
        <x:v>15</x:v>
      </x:c>
    </x:row>
    <x:row r="6">
      <x:c r="A6" s="20" t="inlineStr">
        <x:is>
          <x:t xml:space="preserve">Failed</x:t>
        </x:is>
      </x:c>
      <x:c r="B6" s="21">
        <x:f>COUNTIF(Execution_Report!G4:G200,"Fail")</x:f>
        <x:v>1</x:v>
      </x:c>
      <x:c r="D6" s="22" t="inlineStr">
        <x:is>
          <x:t xml:space="preserve">Inventory Service</x:t>
        </x:is>
      </x:c>
      <x:c r="E6" s="23">
        <x:f>COUNTIF(Test_Cases!B:B,"Inventory Service")</x:f>
        <x:v>6</x:v>
      </x:c>
      <x:c r="G6" s="22" t="inlineStr">
        <x:is>
          <x:t xml:space="preserve">Manual Coverage</x:t>
        </x:is>
      </x:c>
      <x:c r="H6" s="23">
        <x:f>COUNTIF(Test_Cases!K5:K200,"Manual")</x:f>
        <x:v>31</x:v>
      </x:c>
    </x:row>
    <x:row r="7">
      <x:c r="A7" s="20" t="inlineStr">
        <x:is>
          <x:t xml:space="preserve">Blocked</x:t>
        </x:is>
      </x:c>
      <x:c r="B7" s="21">
        <x:f>COUNTIF(Execution_Report!G4:G200,"Blocked")</x:f>
        <x:v>0</x:v>
      </x:c>
      <x:c r="D7" s="22" t="inlineStr">
        <x:is>
          <x:t xml:space="preserve">Notification Service</x:t>
        </x:is>
      </x:c>
      <x:c r="E7" s="23">
        <x:f>COUNTIF(Test_Cases!B:B,"Notification Service")</x:f>
        <x:v>3</x:v>
      </x:c>
      <x:c r="G7" s="22" t="inlineStr">
        <x:is>
          <x:t xml:space="preserve">Automated / Planned</x:t>
        </x:is>
      </x:c>
      <x:c r="H7" s="23">
        <x:f>COUNTA(Automation_Map!A4:A200)</x:f>
        <x:v>15</x:v>
      </x:c>
    </x:row>
    <x:row r="8">
      <x:c r="A8" s="20" t="inlineStr">
        <x:is>
          <x:t xml:space="preserve">Not Run</x:t>
        </x:is>
      </x:c>
      <x:c r="B8" s="21">
        <x:f>B4-B5-B6-B7</x:f>
        <x:v>28</x:v>
      </x:c>
      <x:c r="D8" s="22" t="inlineStr">
        <x:is>
          <x:t xml:space="preserve">End-to-End</x:t>
        </x:is>
      </x:c>
      <x:c r="E8" s="23">
        <x:f>COUNTIF(Test_Cases!B:B,"End-to-End")</x:f>
        <x:v>6</x:v>
      </x:c>
    </x:row>
    <x:row r="9">
      <x:c r="A9" s="20" t="inlineStr">
        <x:is>
          <x:t xml:space="preserve">Pass Rate</x:t>
        </x:is>
      </x:c>
      <x:c r="B9" s="24">
        <x:f>IF((B5+B6+B7)=0,0,B5/(B5+B6+B7))</x:f>
        <x:v>0.6666666666666666</x:v>
      </x:c>
      <x:c r="D9" s="22" t="inlineStr">
        <x:is>
          <x:t xml:space="preserve">Error Handling</x:t>
        </x:is>
      </x:c>
      <x:c r="E9" s="23">
        <x:f>COUNTIF(Test_Cases!B:B,"Error Handling")</x:f>
        <x:v>4</x:v>
      </x:c>
    </x:row>
    <x:row r="12">
      <x:c r="A12" s="25" t="inlineStr">
        <x:is>
          <x:t xml:space="preserve">Dashboard formulas pull from the test case, execution, defect, and automation mapping sheets. Adjust execution rows or status values to update the dashboard.</x:t>
        </x:is>
      </x:c>
    </x:row>
    <x:row r="13"/>
    <x:row r="14"/>
  </x:sheetData>
  <x:mergeCells>
    <x:mergeCell ref="A12:H14"/>
    <x:mergeCell ref="A1:H1"/>
  </x:mergeCells>
  <x:pageMargins left="0.7" right="0.7" top="0.75" bottom="0.75" header="0.3" footer="0.3"/>
  <x:drawing xmlns:r="http://schemas.openxmlformats.org/officeDocument/2006/relationships" r:id="R15aef468ca38480e"/>
</x:worksheet>
</file>