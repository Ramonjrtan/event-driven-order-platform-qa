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monJrTan\Downloads\event-driven-order-platform-qa\event-driven-order-platform-qa\"/>
    </mc:Choice>
  </mc:AlternateContent>
  <xr:revisionPtr revIDLastSave="0" documentId="13_ncr:1_{271B330C-FC74-4498-A5EA-F15DD9261199}" xr6:coauthVersionLast="47" xr6:coauthVersionMax="47" xr10:uidLastSave="{00000000-0000-0000-0000-000000000000}"/>
  <bookViews>
    <workbookView xWindow="28680" yWindow="-120" windowWidth="29040" windowHeight="15720" firstSheet="4" activeTab="9" xr2:uid="{00000000-000D-0000-FFFF-FFFF00000000}"/>
  </bookViews>
  <sheets>
    <sheet name="README" sheetId="1" r:id="rId1"/>
    <sheet name="Summary" sheetId="2" r:id="rId2"/>
    <sheet name="10_Order_Service" sheetId="3" r:id="rId3"/>
    <sheet name="20_Payment_Service" sheetId="4" r:id="rId4"/>
    <sheet name="30_Inventory_Service" sheetId="5" r:id="rId5"/>
    <sheet name="40_Notification_Service" sheetId="6" r:id="rId6"/>
    <sheet name="50_Error_Handling_Resilience" sheetId="7" r:id="rId7"/>
    <sheet name="60_E2E_Event_Flow" sheetId="8" r:id="rId8"/>
    <sheet name="70_RTM" sheetId="9" r:id="rId9"/>
    <sheet name="80_Automation_Map" sheetId="10" r:id="rId10"/>
  </sheets>
  <definedNames>
    <definedName name="_xlnm._FilterDatabase" localSheetId="2" hidden="1">'10_Order_Service'!$A$2:$L$8</definedName>
    <definedName name="_xlnm._FilterDatabase" localSheetId="3" hidden="1">'20_Payment_Service'!$A$2:$L$8</definedName>
    <definedName name="_xlnm._FilterDatabase" localSheetId="4" hidden="1">'30_Inventory_Service'!$A$2:$L$8</definedName>
    <definedName name="_xlnm._FilterDatabase" localSheetId="5" hidden="1">'40_Notification_Service'!$A$2:$L$7</definedName>
    <definedName name="_xlnm._FilterDatabase" localSheetId="6" hidden="1">'50_Error_Handling_Resilience'!$A$2:$L$7</definedName>
    <definedName name="_xlnm._FilterDatabase" localSheetId="7" hidden="1">'60_E2E_Event_Flow'!$A$2:$L$8</definedName>
    <definedName name="_xlnm._FilterDatabase" localSheetId="8" hidden="1">'70_RTM'!$A$2:$I$10</definedName>
    <definedName name="_xlnm._FilterDatabase" localSheetId="9" hidden="1">'80_Automation_Map'!$A$2:$H$13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2" l="1"/>
  <c r="B29" i="2"/>
  <c r="B28" i="2"/>
  <c r="E28" i="2" s="1"/>
  <c r="B27" i="2"/>
  <c r="F17" i="2"/>
  <c r="E17" i="2"/>
  <c r="E18" i="2" s="1"/>
  <c r="D17" i="2"/>
  <c r="C17" i="2"/>
  <c r="F16" i="2"/>
  <c r="F18" i="2" s="1"/>
  <c r="E16" i="2"/>
  <c r="D16" i="2"/>
  <c r="C16" i="2"/>
  <c r="F15" i="2"/>
  <c r="E15" i="2"/>
  <c r="D15" i="2"/>
  <c r="C15" i="2"/>
  <c r="F14" i="2"/>
  <c r="E14" i="2"/>
  <c r="D14" i="2"/>
  <c r="C14" i="2"/>
  <c r="F13" i="2"/>
  <c r="E13" i="2"/>
  <c r="D13" i="2"/>
  <c r="C13" i="2"/>
  <c r="F12" i="2"/>
  <c r="E12" i="2"/>
  <c r="D12" i="2"/>
  <c r="D18" i="2" s="1"/>
  <c r="C12" i="2"/>
  <c r="C18" i="2" s="1"/>
  <c r="E27" i="2" s="1"/>
  <c r="E29" i="2" s="1"/>
  <c r="E31" i="2" l="1"/>
  <c r="E30" i="2"/>
</calcChain>
</file>

<file path=xl/sharedStrings.xml><?xml version="1.0" encoding="utf-8"?>
<sst xmlns="http://schemas.openxmlformats.org/spreadsheetml/2006/main" count="727" uniqueCount="412">
  <si>
    <t>Purpose</t>
  </si>
  <si>
    <t>Provide reusable sample manual test cases for an event-driven order processing platform covering order creation, payment authorization, inventory reservation, notification handling, resilience, and end-to-end asynchronous flows.</t>
  </si>
  <si>
    <t>How to use</t>
  </si>
  <si>
    <t>Open each module sheet and update Status and Notes during execution. Summary KPIs and module counts refresh automatically. Use RTM and Automation Map tabs to show coverage during interviews and portfolio reviews.</t>
  </si>
  <si>
    <t>Important note</t>
  </si>
  <si>
    <t>These are portfolio-ready sample QA scenarios designed to demonstrate senior-level event-driven testing strategy. Tailor the message broker, payload contract, retry logic, and final-state rules to your target system.</t>
  </si>
  <si>
    <t>Default status</t>
  </si>
  <si>
    <t>Not Run</t>
  </si>
  <si>
    <t>Default priority</t>
  </si>
  <si>
    <t>High</t>
  </si>
  <si>
    <t>Primary domain</t>
  </si>
  <si>
    <t>Backend / Event-Driven Platform QA</t>
  </si>
  <si>
    <t>Architecture focus</t>
  </si>
  <si>
    <t>API -&gt; Event Broker -&gt; Payment -&gt; Inventory -&gt; Notification -&gt; Audit/DB</t>
  </si>
  <si>
    <t>Testing focus</t>
  </si>
  <si>
    <t>Event integrity, idempotency, sequencing, retries, dead-letter handling, eventual consistency, and final-state reconciliation</t>
  </si>
  <si>
    <t>Event-Driven Order Platform - Manual Test Case Tracker</t>
  </si>
  <si>
    <t>Workbook Controls</t>
  </si>
  <si>
    <t>Default Status</t>
  </si>
  <si>
    <t>Default Priority</t>
  </si>
  <si>
    <t>Portfolio Owner</t>
  </si>
  <si>
    <t>Ramon Tan Jr</t>
  </si>
  <si>
    <t>Primary Domain</t>
  </si>
  <si>
    <t>Module Coverage</t>
  </si>
  <si>
    <t>Module</t>
  </si>
  <si>
    <t>Sheet Name</t>
  </si>
  <si>
    <t>Total Cases</t>
  </si>
  <si>
    <t>High Priority</t>
  </si>
  <si>
    <t>Risk Cases</t>
  </si>
  <si>
    <t>Automation Candidates</t>
  </si>
  <si>
    <t>Order Service</t>
  </si>
  <si>
    <t>10_Order_Service</t>
  </si>
  <si>
    <t>Payment Service</t>
  </si>
  <si>
    <t>20_Payment_Service</t>
  </si>
  <si>
    <t>Inventory Service</t>
  </si>
  <si>
    <t>30_Inventory_Service</t>
  </si>
  <si>
    <t>Notification Service</t>
  </si>
  <si>
    <t>40_Notification_Service</t>
  </si>
  <si>
    <t>Error Handling &amp; Resilience</t>
  </si>
  <si>
    <t>50_Error_Handling_Resilience</t>
  </si>
  <si>
    <t>End-to-End Event Flow</t>
  </si>
  <si>
    <t>60_E2E_Event_Flow</t>
  </si>
  <si>
    <t>Total</t>
  </si>
  <si>
    <t>Execution Status</t>
  </si>
  <si>
    <t>Status</t>
  </si>
  <si>
    <t>Count</t>
  </si>
  <si>
    <t>Metric</t>
  </si>
  <si>
    <t>Value</t>
  </si>
  <si>
    <t>Total Test Cases</t>
  </si>
  <si>
    <t>Pass</t>
  </si>
  <si>
    <t>Executed Cases</t>
  </si>
  <si>
    <t>Fail</t>
  </si>
  <si>
    <t>Execution %</t>
  </si>
  <si>
    <t>Blocked</t>
  </si>
  <si>
    <t>Pass Rate</t>
  </si>
  <si>
    <t>Fail Rate</t>
  </si>
  <si>
    <t>Update the Status and Notes columns during execution. Summary KPIs and counts refresh automatically.</t>
  </si>
  <si>
    <t>TC_ID</t>
  </si>
  <si>
    <t>Scenario</t>
  </si>
  <si>
    <t>Preconditions</t>
  </si>
  <si>
    <t>Steps</t>
  </si>
  <si>
    <t>Test Data</t>
  </si>
  <si>
    <t>Expected Result</t>
  </si>
  <si>
    <t>Priority</t>
  </si>
  <si>
    <t>Type</t>
  </si>
  <si>
    <t>Automation Candidate</t>
  </si>
  <si>
    <t>Notes</t>
  </si>
  <si>
    <t>ORD-001</t>
  </si>
  <si>
    <t>Valid order creation publishes order.created event with complete payload</t>
  </si>
  <si>
    <t>Create Order API is available and broker topic is active</t>
  </si>
  <si>
    <t>1. Send valid POST /orders request
2. Verify API response
3. Verify order.created event on topic/log
4. Confirm correlation ID captured</t>
  </si>
  <si>
    <t>customerId=1001; itemId=SKU-001; qty=2; amount=120.00</t>
  </si>
  <si>
    <t>Order is accepted, unique orderId is created, and order.created event is published with correct payload fields</t>
  </si>
  <si>
    <t>Critical</t>
  </si>
  <si>
    <t>Positive</t>
  </si>
  <si>
    <t>Yes</t>
  </si>
  <si>
    <t>Core happy path</t>
  </si>
  <si>
    <t>ORD-002</t>
  </si>
  <si>
    <t>Mandatory fields are validated before event publication</t>
  </si>
  <si>
    <t>API is available</t>
  </si>
  <si>
    <t>1. Submit order without customerId
2. Check response and broker activity</t>
  </si>
  <si>
    <t>itemId=SKU-001; qty=2</t>
  </si>
  <si>
    <t>Request is rejected with validation error and no downstream event is published</t>
  </si>
  <si>
    <t>Negative</t>
  </si>
  <si>
    <t>Field validation</t>
  </si>
  <si>
    <t>ORD-003</t>
  </si>
  <si>
    <t>Duplicate client submission does not trigger duplicate downstream processing</t>
  </si>
  <si>
    <t>Idempotency key logic is enabled or simulated</t>
  </si>
  <si>
    <t>1. Submit same order payload twice with same idempotency key
2. Review events and stored order state</t>
  </si>
  <si>
    <t>same payload; same idempotency key</t>
  </si>
  <si>
    <t>System handles duplicate safely and only one logical order proceeds downstream</t>
  </si>
  <si>
    <t>Edge</t>
  </si>
  <si>
    <t>Idempotency control</t>
  </si>
  <si>
    <t>ORD-004</t>
  </si>
  <si>
    <t>Invalid quantity value is rejected</t>
  </si>
  <si>
    <t>1. Submit order with qty=0
2. Check response and event topic</t>
  </si>
  <si>
    <t>qty=0</t>
  </si>
  <si>
    <t>Request is rejected and no order.created event is emitted</t>
  </si>
  <si>
    <t>Input validation</t>
  </si>
  <si>
    <t>ORD-005</t>
  </si>
  <si>
    <t>Published event matches contract and includes correlation identifiers</t>
  </si>
  <si>
    <t>Event contract/schema is defined</t>
  </si>
  <si>
    <t>1. Create valid order
2. Compare actual event payload against contract</t>
  </si>
  <si>
    <t>valid order payload</t>
  </si>
  <si>
    <t>Event matches expected schema, data types, orderId, correlationId, and timestamp fields</t>
  </si>
  <si>
    <t>Contract validation</t>
  </si>
  <si>
    <t>ORD-006</t>
  </si>
  <si>
    <t>Order audit record is created for traceability at intake</t>
  </si>
  <si>
    <t>Audit store or log table is available</t>
  </si>
  <si>
    <t>1. Create valid order
2. Review audit/log entry</t>
  </si>
  <si>
    <t>Audit/log contains orderId, request source, timestamp, and initial order status</t>
  </si>
  <si>
    <t>Medium</t>
  </si>
  <si>
    <t>No</t>
  </si>
  <si>
    <t>Traceability</t>
  </si>
  <si>
    <t>PAY-001</t>
  </si>
  <si>
    <t>Payment service consumes order.created and emits payment.authorized for approved transaction</t>
  </si>
  <si>
    <t>Valid order event exists and payment simulator is available</t>
  </si>
  <si>
    <t>1. Trigger valid order
2. Monitor payment consumer
3. Verify payment.authorized event</t>
  </si>
  <si>
    <t>approved payment token</t>
  </si>
  <si>
    <t>Payment is processed successfully and payment.authorized event is emitted with same correlation ID</t>
  </si>
  <si>
    <t>Happy path</t>
  </si>
  <si>
    <t>PAY-002</t>
  </si>
  <si>
    <t>Declined transaction emits payment.failed and stops success path</t>
  </si>
  <si>
    <t>Payment decline rule is configured</t>
  </si>
  <si>
    <t>1. Trigger order using decline data
2. Monitor payment outcome and downstream flow</t>
  </si>
  <si>
    <t>paymentToken=DECLINED-001</t>
  </si>
  <si>
    <t>payment.failed event is emitted and success-only downstream steps do not proceed</t>
  </si>
  <si>
    <t>Failure path</t>
  </si>
  <si>
    <t>PAY-003</t>
  </si>
  <si>
    <t>Duplicate order.created replay does not cause double charge</t>
  </si>
  <si>
    <t>Payment service is active and orderId already processed once</t>
  </si>
  <si>
    <t>1. Replay same order.created event twice
2. Review payment records</t>
  </si>
  <si>
    <t>same orderId replayed</t>
  </si>
  <si>
    <t>System processes charge once only and preserves idempotent final payment state</t>
  </si>
  <si>
    <t>Financial control</t>
  </si>
  <si>
    <t>PAY-004</t>
  </si>
  <si>
    <t>Malformed order event is rejected or routed to error handling</t>
  </si>
  <si>
    <t>Consumer is connected to broker</t>
  </si>
  <si>
    <t>1. Publish malformed order.created event
2. Review logs / DLQ behavior</t>
  </si>
  <si>
    <t>missing orderId or invalid amount datatype</t>
  </si>
  <si>
    <t>Event is rejected safely and no invalid charge attempt occurs</t>
  </si>
  <si>
    <t>Payload guardrail</t>
  </si>
  <si>
    <t>PAY-005</t>
  </si>
  <si>
    <t>Temporary downstream timeout triggers retry without duplicate final state</t>
  </si>
  <si>
    <t>Retry policy is configured</t>
  </si>
  <si>
    <t>1. Simulate transient gateway timeout
2. Allow retry to occur
3. Review final payment record</t>
  </si>
  <si>
    <t>valid order with transient timeout</t>
  </si>
  <si>
    <t>Retry succeeds or fails cleanly without duplicate authorization records</t>
  </si>
  <si>
    <t>Recovery</t>
  </si>
  <si>
    <t>Resilience scenario</t>
  </si>
  <si>
    <t>PAY-006</t>
  </si>
  <si>
    <t>Payment audit trail preserves authorization result and timestamps</t>
  </si>
  <si>
    <t>Audit or payment log is available</t>
  </si>
  <si>
    <t>1. Complete approved and failed payment runs
2. Review audit fields</t>
  </si>
  <si>
    <t>approved and declined samples</t>
  </si>
  <si>
    <t>Audit trail captures orderId, payment status, attempt count, and timestamps for traceability</t>
  </si>
  <si>
    <t>Interview talking point</t>
  </si>
  <si>
    <t>INV-001</t>
  </si>
  <si>
    <t>Inventory is reserved only after payment.authorized is received</t>
  </si>
  <si>
    <t>Inventory service is active and stock is available</t>
  </si>
  <si>
    <t>1. Trigger valid order
2. Allow payment success
3. Review reservation event and stock state</t>
  </si>
  <si>
    <t>SKU-001 stock=10 qty=2</t>
  </si>
  <si>
    <t>inventory.reserved event is emitted and stock count is reduced correctly</t>
  </si>
  <si>
    <t>Core reservation flow</t>
  </si>
  <si>
    <t>INV-002</t>
  </si>
  <si>
    <t>Insufficient stock emits inventory.failed and prevents completion</t>
  </si>
  <si>
    <t>Low-stock item exists</t>
  </si>
  <si>
    <t>1. Trigger order above available stock
2. Review reservation outcome</t>
  </si>
  <si>
    <t>SKU-LOW stock=1 qty=5</t>
  </si>
  <si>
    <t>inventory.failed event is emitted and final order is not marked complete</t>
  </si>
  <si>
    <t>Business failure path</t>
  </si>
  <si>
    <t>INV-003</t>
  </si>
  <si>
    <t>Duplicate payment.authorized replay does not reserve stock twice</t>
  </si>
  <si>
    <t>Inventory reservation already completed once</t>
  </si>
  <si>
    <t>1. Replay same payment.authorized event
2. Review stock and reservation records</t>
  </si>
  <si>
    <t>Stock is reserved once only and no duplicate reservation record is created</t>
  </si>
  <si>
    <t>Idempotent reservation</t>
  </si>
  <si>
    <t>INV-004</t>
  </si>
  <si>
    <t>Out-of-sequence inventory event is ignored or flagged safely</t>
  </si>
  <si>
    <t>Event simulation is available</t>
  </si>
  <si>
    <t>1. Publish inventory action before payment.authorized
2. Review service response</t>
  </si>
  <si>
    <t>inventory event before payment</t>
  </si>
  <si>
    <t>System detects invalid sequence and prevents incorrect reservation</t>
  </si>
  <si>
    <t>Async sequencing</t>
  </si>
  <si>
    <t>INV-005</t>
  </si>
  <si>
    <t>Stock integrity remains accurate after reservation and failure scenarios</t>
  </si>
  <si>
    <t>Stock table or mock DB is available</t>
  </si>
  <si>
    <t>1. Run success and failure scenarios
2. Compare before/after stock counts</t>
  </si>
  <si>
    <t>success order + out-of-stock order</t>
  </si>
  <si>
    <t>Stock values change only for valid reservations and remain unchanged for failed attempts</t>
  </si>
  <si>
    <t>Data integrity</t>
  </si>
  <si>
    <t>INV-006</t>
  </si>
  <si>
    <t>Inventory service captures clear audit message for reservation decision</t>
  </si>
  <si>
    <t>Logging is enabled</t>
  </si>
  <si>
    <t>1. Trigger reservation success and failure
2. Review audit/log message</t>
  </si>
  <si>
    <t>approved and failed samples</t>
  </si>
  <si>
    <t>Audit/log explains reservation result, orderId, sku, and available quantity at decision time</t>
  </si>
  <si>
    <t>Operational visibility</t>
  </si>
  <si>
    <t>NOT-001</t>
  </si>
  <si>
    <t>Success notification is generated after completed transaction flow</t>
  </si>
  <si>
    <t>Happy-path order can complete end-to-end</t>
  </si>
  <si>
    <t>1. Complete full success path
2. Review notification event/log</t>
  </si>
  <si>
    <t>valid order</t>
  </si>
  <si>
    <t>notification.sent event or equivalent message is produced after successful completion</t>
  </si>
  <si>
    <t>Customer communication</t>
  </si>
  <si>
    <t>NOT-002</t>
  </si>
  <si>
    <t>Failure notification is generated for payment or inventory failure</t>
  </si>
  <si>
    <t>Failure path is available</t>
  </si>
  <si>
    <t>1. Trigger payment failure
2. Trigger inventory failure
3. Review notifications</t>
  </si>
  <si>
    <t>declined payment; out-of-stock item</t>
  </si>
  <si>
    <t>Failure notifications clearly communicate unsuccessful outcome without exposing sensitive data</t>
  </si>
  <si>
    <t>Business messaging</t>
  </si>
  <si>
    <t>NOT-003</t>
  </si>
  <si>
    <t>Notification retry failure does not roll back committed business state</t>
  </si>
  <si>
    <t>Retry logic exists for notification channel</t>
  </si>
  <si>
    <t>1. Force notification channel outage
2. Review business state and retry behavior</t>
  </si>
  <si>
    <t>completed order with channel outage</t>
  </si>
  <si>
    <t>Core transaction stays committed while notification is retried independently</t>
  </si>
  <si>
    <t>Decoupled architecture</t>
  </si>
  <si>
    <t>NOT-004</t>
  </si>
  <si>
    <t>Duplicate terminal event does not send duplicate customer message</t>
  </si>
  <si>
    <t>Message deduplication logic exists or is simulated</t>
  </si>
  <si>
    <t>1. Replay same final event
2. Review sent notifications</t>
  </si>
  <si>
    <t>same final event replayed</t>
  </si>
  <si>
    <t>Customer receives one notification only or duplicates are safely suppressed</t>
  </si>
  <si>
    <t>User experience protection</t>
  </si>
  <si>
    <t>NOT-005</t>
  </si>
  <si>
    <t>Notification payload contains correct order summary and status</t>
  </si>
  <si>
    <t>Notification template is configured</t>
  </si>
  <si>
    <t>1. Run success and failure scenarios
2. Review payload/body</t>
  </si>
  <si>
    <t>orderId, status, sku summary</t>
  </si>
  <si>
    <t>Notification content reflects correct orderId, status, and business outcome</t>
  </si>
  <si>
    <t>Content validation</t>
  </si>
  <si>
    <t>ERR-001</t>
  </si>
  <si>
    <t>Malformed event is routed to dead-letter or error-handling path</t>
  </si>
  <si>
    <t>Error handling path is configured</t>
  </si>
  <si>
    <t>1. Publish malformed JSON/event
2. Review consumer logs and DLQ</t>
  </si>
  <si>
    <t>bad JSON or missing required fields</t>
  </si>
  <si>
    <t>Invalid event is isolated in DLQ/error flow and does not impact valid processing</t>
  </si>
  <si>
    <t>Advanced scenario</t>
  </si>
  <si>
    <t>ERR-002</t>
  </si>
  <si>
    <t>Poison message does not block processing of later valid events</t>
  </si>
  <si>
    <t>Consumer can encounter repeated bad message</t>
  </si>
  <si>
    <t>1. Inject poison event
2. Send valid event after it
3. Review throughput</t>
  </si>
  <si>
    <t>persistent invalid payload plus valid payload</t>
  </si>
  <si>
    <t>Bad event is isolated and subsequent valid events continue processing</t>
  </si>
  <si>
    <t>Broker resilience</t>
  </si>
  <si>
    <t>ERR-003</t>
  </si>
  <si>
    <t>Consumer restart resumes processing safely after interruption</t>
  </si>
  <si>
    <t>Restart simulation is available</t>
  </si>
  <si>
    <t>1. Begin processing order
2. Stop consumer
3. Restart consumer
4. Review final state</t>
  </si>
  <si>
    <t>valid in-flight order</t>
  </si>
  <si>
    <t>Service resumes safely and pending messages are processed without corruption or duplication</t>
  </si>
  <si>
    <t>Service recovery</t>
  </si>
  <si>
    <t>ERR-004</t>
  </si>
  <si>
    <t>Processing delay is detectable within expected monitoring window</t>
  </si>
  <si>
    <t>Timeout threshold or monitoring is defined</t>
  </si>
  <si>
    <t>1. Delay consumer or downstream dependency
2. Review alerts/timeout handling</t>
  </si>
  <si>
    <t>delayed payment/inventory event</t>
  </si>
  <si>
    <t>Delay is detected and surfaced through monitoring or status timeout logic</t>
  </si>
  <si>
    <t>Operational monitoring</t>
  </si>
  <si>
    <t>ERR-005</t>
  </si>
  <si>
    <t>Compensation or final failure state is recorded clearly after unrecoverable issue</t>
  </si>
  <si>
    <t>Compensation or terminal error design is documented</t>
  </si>
  <si>
    <t>1. Force unrecoverable downstream failure
2. Review final state</t>
  </si>
  <si>
    <t>permanent payment/inventory failure</t>
  </si>
  <si>
    <t>Order reaches clear terminal state with traceable reason instead of remaining ambiguous</t>
  </si>
  <si>
    <t>Final-state clarity</t>
  </si>
  <si>
    <t>E2E-001</t>
  </si>
  <si>
    <t>Happy path completes from API request to final notification with correct event sequence</t>
  </si>
  <si>
    <t>All services are available</t>
  </si>
  <si>
    <t>1. Create order
2. Allow payment success
3. Allow inventory reservation
4. Review notification and final DB state</t>
  </si>
  <si>
    <t>order.created -&gt; payment.authorized -&gt; inventory.reserved -&gt; notification.sent occurs in correct sequence and final state is COMPLETE</t>
  </si>
  <si>
    <t>Showcase scenario</t>
  </si>
  <si>
    <t>E2E-002</t>
  </si>
  <si>
    <t>Payment failure stops inventory reservation and produces correct terminal state</t>
  </si>
  <si>
    <t>Payment decline scenario is available</t>
  </si>
  <si>
    <t>1. Create order with decline data
2. Review downstream services and final state</t>
  </si>
  <si>
    <t>declined payment token</t>
  </si>
  <si>
    <t>Inventory is not reserved, failure notification is triggered, and order reaches correct failed status</t>
  </si>
  <si>
    <t>Critical control</t>
  </si>
  <si>
    <t>E2E-003</t>
  </si>
  <si>
    <t>Inventory failure after approved payment produces expected business outcome</t>
  </si>
  <si>
    <t>Inventory failure scenario is available</t>
  </si>
  <si>
    <t>1. Create valid order
2. Allow payment approval
3. Force stock shortage
4. Review final state</t>
  </si>
  <si>
    <t>out-of-stock SKU</t>
  </si>
  <si>
    <t>System reaches defined inventory-failure state and logs traceable reason</t>
  </si>
  <si>
    <t>Compensation discussion</t>
  </si>
  <si>
    <t>E2E-004</t>
  </si>
  <si>
    <t>Eventual consistency resolves to correct final state within acceptable time window</t>
  </si>
  <si>
    <t>Async processing window is defined</t>
  </si>
  <si>
    <t>1. Trigger valid order
2. Observe intermediate pending states
3. Confirm final state within SLA</t>
  </si>
  <si>
    <t>valid order with normal delay</t>
  </si>
  <si>
    <t>Final order state becomes correct within expected timeout without manual intervention</t>
  </si>
  <si>
    <t>Async behavior</t>
  </si>
  <si>
    <t>E2E-005</t>
  </si>
  <si>
    <t>Database/audit records reconcile with emitted events</t>
  </si>
  <si>
    <t>Audit table or mock database is available</t>
  </si>
  <si>
    <t>1. Run success and failure flows
2. Compare event history vs DB state</t>
  </si>
  <si>
    <t>mixed scenarios</t>
  </si>
  <si>
    <t>Stored final state, audit records, and event history are consistent for each orderId</t>
  </si>
  <si>
    <t>Data reconciliation</t>
  </si>
  <si>
    <t>E2E-006</t>
  </si>
  <si>
    <t>Correlation IDs remain consistent across services for traceability</t>
  </si>
  <si>
    <t>Logging across services is enabled</t>
  </si>
  <si>
    <t>1. Run happy path
2. Trace same order through all service logs/events</t>
  </si>
  <si>
    <t>Same correlation/order identifier is visible across order, payment, inventory, and notification layers</t>
  </si>
  <si>
    <t>Observability</t>
  </si>
  <si>
    <t>Traceability view linking core event-driven requirements to manual test coverage. Use this sheet in interviews to show structured QA thinking and requirement coverage.</t>
  </si>
  <si>
    <t>REQ_ID</t>
  </si>
  <si>
    <t>Requirement Area</t>
  </si>
  <si>
    <t>Requirement Description</t>
  </si>
  <si>
    <t>Linked Test Cases</t>
  </si>
  <si>
    <t>Coverage Status</t>
  </si>
  <si>
    <t>Owner</t>
  </si>
  <si>
    <t>Reviewed</t>
  </si>
  <si>
    <t>REQ-001</t>
  </si>
  <si>
    <t>Order Intake</t>
  </si>
  <si>
    <t>System must publish order.created for valid orders with required identifiers</t>
  </si>
  <si>
    <t>ORD-001, ORD-005, E2E-001, E2E-006</t>
  </si>
  <si>
    <t>Covered</t>
  </si>
  <si>
    <t>Includes contract and traceability checks</t>
  </si>
  <si>
    <t>QA</t>
  </si>
  <si>
    <t>REQ-002</t>
  </si>
  <si>
    <t>Validation</t>
  </si>
  <si>
    <t>System must reject invalid order input before event publication</t>
  </si>
  <si>
    <t>ORD-002, ORD-004</t>
  </si>
  <si>
    <t>Prevents bad data entering broker</t>
  </si>
  <si>
    <t>REQ-003</t>
  </si>
  <si>
    <t>Idempotency</t>
  </si>
  <si>
    <t>Duplicate submissions/events must not cause duplicate payment or reservation actions</t>
  </si>
  <si>
    <t>ORD-003, PAY-003, INV-003, NOT-004</t>
  </si>
  <si>
    <t>Core distributed-systems control</t>
  </si>
  <si>
    <t>REQ-004</t>
  </si>
  <si>
    <t>Payment Processing</t>
  </si>
  <si>
    <t>Approved orders must emit payment.authorized; declined orders must emit payment.failed</t>
  </si>
  <si>
    <t>PAY-001, PAY-002, E2E-002</t>
  </si>
  <si>
    <t>Covers positive and negative payment flow</t>
  </si>
  <si>
    <t>REQ-005</t>
  </si>
  <si>
    <t>Inventory Reservation</t>
  </si>
  <si>
    <t>Inventory must reserve stock only after payment approval and maintain accurate stock state</t>
  </si>
  <si>
    <t>INV-001, INV-002, INV-004, INV-005, E2E-003</t>
  </si>
  <si>
    <t>Sequencing + stock integrity</t>
  </si>
  <si>
    <t>REQ-006</t>
  </si>
  <si>
    <t>Notifications</t>
  </si>
  <si>
    <t>System must notify customers on terminal success/failure without duplicate messages</t>
  </si>
  <si>
    <t>NOT-001, NOT-002, NOT-003, NOT-004, NOT-005</t>
  </si>
  <si>
    <t>Communication decoupling covered</t>
  </si>
  <si>
    <t>REQ-007</t>
  </si>
  <si>
    <t>Resilience</t>
  </si>
  <si>
    <t>Invalid or poison events must not block healthy processing and must be isolated safely</t>
  </si>
  <si>
    <t>ERR-001, ERR-002, ERR-003, ERR-004</t>
  </si>
  <si>
    <t>DLQ and recovery scenarios included</t>
  </si>
  <si>
    <t>REQ-008</t>
  </si>
  <si>
    <t>Eventual Consistency</t>
  </si>
  <si>
    <t>System must converge to correct final state within acceptable async window</t>
  </si>
  <si>
    <t>E2E-004, E2E-005</t>
  </si>
  <si>
    <t>Async completion and reconciliation</t>
  </si>
  <si>
    <t>Automation planning view showing which manual scenarios are best candidates for API, event, integration, and resilience automation.</t>
  </si>
  <si>
    <t>Automation Layer</t>
  </si>
  <si>
    <t>Recommended Tool</t>
  </si>
  <si>
    <t>Why Automate</t>
  </si>
  <si>
    <t>Valid order creation publishes order.created event</t>
  </si>
  <si>
    <t>API + Event</t>
  </si>
  <si>
    <t>Postman + Node.js/Jest</t>
  </si>
  <si>
    <t>Core contract and publisher validation</t>
  </si>
  <si>
    <t>Planned</t>
  </si>
  <si>
    <t>High-value smoke candidate</t>
  </si>
  <si>
    <t>Duplicate client submission does not trigger duplicate processing</t>
  </si>
  <si>
    <t>Integration</t>
  </si>
  <si>
    <t>Node.js/Jest + broker mock</t>
  </si>
  <si>
    <t>Demonstrates idempotency control</t>
  </si>
  <si>
    <t>Strong interview talking point</t>
  </si>
  <si>
    <t>Payment service emits payment.authorized for approved transaction</t>
  </si>
  <si>
    <t>Node.js/Jest + test doubles</t>
  </si>
  <si>
    <t>Core consumer validation</t>
  </si>
  <si>
    <t>Duplicate order event does not cause double charge</t>
  </si>
  <si>
    <t>Node.js/Jest + replay script</t>
  </si>
  <si>
    <t>Distributed-systems financial control</t>
  </si>
  <si>
    <t>Must-have automation</t>
  </si>
  <si>
    <t>Inventory is reserved only after payment.authorized</t>
  </si>
  <si>
    <t>Node.js/Jest + event fixture</t>
  </si>
  <si>
    <t>Validates sequencing and stock change</t>
  </si>
  <si>
    <t>Core path</t>
  </si>
  <si>
    <t>Notification retry does not roll back business state</t>
  </si>
  <si>
    <t>Node.js/Jest</t>
  </si>
  <si>
    <t>Shows decoupled design understanding</t>
  </si>
  <si>
    <t>Good advanced test</t>
  </si>
  <si>
    <t>Malformed event routed to dead-letter path</t>
  </si>
  <si>
    <t>Event / Resilience</t>
  </si>
  <si>
    <t>Node.js/Jest + malformed payload</t>
  </si>
  <si>
    <t>Strong async error-handling example</t>
  </si>
  <si>
    <t>Advanced showcase</t>
  </si>
  <si>
    <t>Consumer restart resumes processing safely</t>
  </si>
  <si>
    <t>Docker/Testcontainers or simulated restart</t>
  </si>
  <si>
    <t>Shows recovery thinking beyond UI/API</t>
  </si>
  <si>
    <t>Backlog</t>
  </si>
  <si>
    <t>Bonus if time allows</t>
  </si>
  <si>
    <t>Happy path end-to-end sequence completes correctly</t>
  </si>
  <si>
    <t>End-to-End</t>
  </si>
  <si>
    <t>Demonstrates full async flow</t>
  </si>
  <si>
    <t>Top recruiter demo</t>
  </si>
  <si>
    <t>Eventual consistency resolves within acceptable window</t>
  </si>
  <si>
    <t>Node.js/Jest with polling assertions</t>
  </si>
  <si>
    <t>Captures async timing behavior</t>
  </si>
  <si>
    <t>Good senior-level coverage</t>
  </si>
  <si>
    <t>API + Data</t>
  </si>
  <si>
    <t>SQL checks + Node.js</t>
  </si>
  <si>
    <t>Shows data integrity mindset</t>
  </si>
  <si>
    <t>Excellent for your profile</t>
  </si>
  <si>
    <t>Event-Driven Order Platform — QA Manual Test</t>
  </si>
  <si>
    <t>Manual QA test suite for an event-driven order platform with multi-tab execution tracker structure, adapted for asynchronous workflows.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</si>
</sst>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FFFFFF"/>
      <name val="Calibri"/>
    </font>
    <font>
      <b/>
      <sz val="11"/>
      <name val="Calibri"/>
    </font>
    <font>
      <sz val="12"/>
      <color theme="10"/>
      <name val="Calibri"/>
      <family val="2"/>
      <scheme val="minor"/>
    </font>
    <font>
      <i/>
      <sz val="11"/>
      <color rgb="FF7F6000"/>
      <name val="Calibri"/>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E7E6E6"/>
      </patternFill>
    </fill>
    <fill>
      <patternFill patternType="solid">
        <fgColor rgb="FFEAF3FF"/>
      </patternFill>
    </fill>
    <fill>
      <patternFill patternType="solid">
        <fgColor rgb="FFE2F0D9"/>
      </patternFill>
    </fill>
    <fill>
      <patternFill patternType="solid">
        <fgColor rgb="FFFCE4D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2">
    <xf numFmtId="0" fontId="0" fillId="0" borderId="0"/>
    <xf numFmtId="0" fontId="3" fillId="0" borderId="0"/>
  </cellStyleXfs>
  <cellXfs count="31">
    <xf numFmtId="0" fontId="0" fillId="0" borderId="0" xfId="0"/>
    <xf numFmtId="0" fontId="2" fillId="3" borderId="1" xfId="0" applyFont="1" applyFill="1" applyBorder="1"/>
    <xf numFmtId="0" fontId="0" fillId="0" borderId="1" xfId="0" applyBorder="1" applyAlignment="1">
      <alignment vertical="top" wrapText="1"/>
    </xf>
    <xf numFmtId="0" fontId="1" fillId="2" borderId="1" xfId="0" applyFont="1" applyFill="1" applyBorder="1" applyAlignment="1">
      <alignment horizontal="center" vertical="center"/>
    </xf>
    <xf numFmtId="0" fontId="2" fillId="0" borderId="1" xfId="0" applyFont="1" applyBorder="1"/>
    <xf numFmtId="0" fontId="0" fillId="0" borderId="1" xfId="0" applyBorder="1"/>
    <xf numFmtId="0" fontId="1" fillId="2" borderId="1" xfId="0" applyFont="1" applyFill="1" applyBorder="1" applyAlignment="1">
      <alignment horizontal="center" vertical="center" wrapText="1"/>
    </xf>
    <xf numFmtId="0" fontId="3" fillId="0" borderId="1" xfId="1" applyBorder="1" applyAlignment="1">
      <alignment vertical="top" wrapText="1"/>
    </xf>
    <xf numFmtId="1" fontId="0" fillId="0" borderId="1" xfId="0" applyNumberFormat="1" applyBorder="1" applyAlignment="1">
      <alignment horizontal="center" vertical="center"/>
    </xf>
    <xf numFmtId="0" fontId="2" fillId="3" borderId="1" xfId="0" applyFont="1" applyFill="1" applyBorder="1" applyAlignment="1">
      <alignment vertical="top" wrapText="1"/>
    </xf>
    <xf numFmtId="0" fontId="0" fillId="3" borderId="1" xfId="0" applyFill="1" applyBorder="1" applyAlignment="1">
      <alignment vertical="top" wrapText="1"/>
    </xf>
    <xf numFmtId="1" fontId="2" fillId="0" borderId="1" xfId="0" applyNumberFormat="1" applyFont="1" applyBorder="1" applyAlignment="1">
      <alignment horizontal="center" vertical="center"/>
    </xf>
    <xf numFmtId="0" fontId="2" fillId="5" borderId="1" xfId="0" applyFont="1" applyFill="1" applyBorder="1" applyAlignment="1">
      <alignment vertical="top" wrapText="1"/>
    </xf>
    <xf numFmtId="0" fontId="0" fillId="6" borderId="1" xfId="0" applyFill="1" applyBorder="1" applyAlignment="1">
      <alignment horizontal="center" vertical="center"/>
    </xf>
    <xf numFmtId="0" fontId="2" fillId="7" borderId="1" xfId="0" applyFont="1" applyFill="1" applyBorder="1" applyAlignment="1">
      <alignment vertical="top" wrapText="1"/>
    </xf>
    <xf numFmtId="0" fontId="2" fillId="8" borderId="1" xfId="0" applyFont="1" applyFill="1" applyBorder="1" applyAlignment="1">
      <alignment vertical="top" wrapText="1"/>
    </xf>
    <xf numFmtId="164" fontId="0" fillId="6" borderId="1" xfId="0" applyNumberFormat="1" applyFill="1" applyBorder="1" applyAlignment="1">
      <alignment horizontal="center" vertical="center"/>
    </xf>
    <xf numFmtId="0" fontId="2" fillId="4" borderId="1" xfId="0" applyFont="1" applyFill="1" applyBorder="1" applyAlignment="1">
      <alignment vertical="top" wrapText="1"/>
    </xf>
    <xf numFmtId="0" fontId="0" fillId="0" borderId="1" xfId="0" applyBorder="1" applyAlignment="1">
      <alignment horizontal="center" vertical="center"/>
    </xf>
    <xf numFmtId="0" fontId="2" fillId="0" borderId="1" xfId="0" applyFont="1" applyBorder="1" applyAlignment="1">
      <alignment vertical="top"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vertical="top" wrapText="1"/>
    </xf>
    <xf numFmtId="0" fontId="0" fillId="0" borderId="1" xfId="0" applyBorder="1" applyAlignment="1">
      <alignment vertical="top" wrapText="1"/>
    </xf>
    <xf numFmtId="0" fontId="0" fillId="0" borderId="2" xfId="0" applyBorder="1"/>
    <xf numFmtId="0" fontId="2" fillId="3" borderId="1" xfId="0" applyFont="1" applyFill="1" applyBorder="1"/>
    <xf numFmtId="0" fontId="0" fillId="0" borderId="3" xfId="0" applyBorder="1"/>
    <xf numFmtId="0" fontId="1" fillId="2" borderId="0" xfId="0" applyFont="1" applyFill="1" applyAlignment="1">
      <alignment horizontal="left" vertical="center"/>
    </xf>
    <xf numFmtId="0" fontId="0" fillId="0" borderId="0" xfId="0"/>
    <xf numFmtId="0" fontId="0" fillId="0" borderId="0" xfId="0" applyAlignment="1">
      <alignment vertical="top" wrapText="1"/>
    </xf>
    <xf numFmtId="0" fontId="4" fillId="4" borderId="0" xfId="0" applyFont="1" applyFill="1" applyAlignment="1">
      <alignment vertical="top" wrapText="1"/>
    </xf>
  </cellXfs>
  <cellStyles count="2">
    <cellStyle name="Hyperlink" xfId="1" xr:uid="{00000000-0005-0000-0000-000001000000}"/>
    <cellStyle name="Normal" xfId="0" builtinId="0"/>
  </cellStyles>
  <dxfs count="24">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showGridLines="0" workbookViewId="0">
      <selection activeCell="E20" sqref="E20"/>
    </sheetView>
  </sheetViews>
  <sheetFormatPr defaultRowHeight="14.4" x14ac:dyDescent="0.3"/>
  <cols>
    <col min="1" max="1" width="24" customWidth="1"/>
    <col min="2" max="2" width="62" customWidth="1"/>
    <col min="3" max="3" width="42" customWidth="1"/>
  </cols>
  <sheetData>
    <row r="1" spans="1:3" ht="22.05" customHeight="1" x14ac:dyDescent="0.3">
      <c r="A1" s="27" t="s">
        <v>410</v>
      </c>
      <c r="B1" s="28"/>
      <c r="C1" s="28"/>
    </row>
    <row r="3" spans="1:3" x14ac:dyDescent="0.3">
      <c r="A3" s="1" t="s">
        <v>0</v>
      </c>
      <c r="B3" s="23" t="s">
        <v>1</v>
      </c>
      <c r="C3" s="24"/>
    </row>
    <row r="4" spans="1:3" x14ac:dyDescent="0.3">
      <c r="A4" s="1" t="s">
        <v>2</v>
      </c>
      <c r="B4" s="23" t="s">
        <v>3</v>
      </c>
      <c r="C4" s="24"/>
    </row>
    <row r="5" spans="1:3" x14ac:dyDescent="0.3">
      <c r="A5" s="1" t="s">
        <v>4</v>
      </c>
      <c r="B5" s="23" t="s">
        <v>5</v>
      </c>
      <c r="C5" s="24"/>
    </row>
    <row r="6" spans="1:3" x14ac:dyDescent="0.3">
      <c r="A6" s="1" t="s">
        <v>6</v>
      </c>
      <c r="B6" s="23" t="s">
        <v>7</v>
      </c>
      <c r="C6" s="24"/>
    </row>
    <row r="7" spans="1:3" x14ac:dyDescent="0.3">
      <c r="A7" s="1" t="s">
        <v>8</v>
      </c>
      <c r="B7" s="23" t="s">
        <v>9</v>
      </c>
      <c r="C7" s="24"/>
    </row>
    <row r="8" spans="1:3" x14ac:dyDescent="0.3">
      <c r="A8" s="1" t="s">
        <v>10</v>
      </c>
      <c r="B8" s="23" t="s">
        <v>11</v>
      </c>
      <c r="C8" s="24"/>
    </row>
    <row r="9" spans="1:3" x14ac:dyDescent="0.3">
      <c r="A9" s="1" t="s">
        <v>12</v>
      </c>
      <c r="B9" s="23" t="s">
        <v>13</v>
      </c>
      <c r="C9" s="24"/>
    </row>
    <row r="10" spans="1:3" ht="28.8" x14ac:dyDescent="0.3">
      <c r="A10" s="1" t="s">
        <v>14</v>
      </c>
      <c r="B10" s="2" t="s">
        <v>15</v>
      </c>
    </row>
  </sheetData>
  <mergeCells count="8">
    <mergeCell ref="B6:C6"/>
    <mergeCell ref="B7:C7"/>
    <mergeCell ref="A1:C1"/>
    <mergeCell ref="B3:C3"/>
    <mergeCell ref="B5:C5"/>
    <mergeCell ref="B9:C9"/>
    <mergeCell ref="B8:C8"/>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showGridLines="0" workbookViewId="0">
      <selection activeCell="C3" sqref="C3"/>
    </sheetView>
  </sheetViews>
  <sheetFormatPr defaultRowHeight="14.4" x14ac:dyDescent="0.3"/>
  <cols>
    <col min="1" max="2" width="24" customWidth="1"/>
    <col min="3" max="5" width="14" customWidth="1"/>
    <col min="6" max="6" width="20" customWidth="1"/>
  </cols>
  <sheetData>
    <row r="1" spans="1:6" ht="22.05" customHeight="1" x14ac:dyDescent="0.3">
      <c r="A1" s="27" t="s">
        <v>16</v>
      </c>
      <c r="B1" s="28"/>
      <c r="C1" s="28"/>
      <c r="D1" s="28"/>
      <c r="E1" s="28"/>
      <c r="F1" s="28"/>
    </row>
    <row r="2" spans="1:6" x14ac:dyDescent="0.3">
      <c r="A2" s="29" t="s">
        <v>411</v>
      </c>
      <c r="B2" s="28"/>
      <c r="C2" s="28"/>
      <c r="D2" s="28"/>
      <c r="E2" s="28"/>
      <c r="F2" s="28"/>
    </row>
    <row r="4" spans="1:6" x14ac:dyDescent="0.3">
      <c r="A4" s="25" t="s">
        <v>17</v>
      </c>
      <c r="B4" s="26"/>
      <c r="C4" s="26"/>
      <c r="D4" s="26"/>
      <c r="E4" s="26"/>
      <c r="F4" s="24"/>
    </row>
    <row r="5" spans="1:6" x14ac:dyDescent="0.3">
      <c r="A5" s="4" t="s">
        <v>18</v>
      </c>
      <c r="B5" s="5" t="s">
        <v>7</v>
      </c>
    </row>
    <row r="6" spans="1:6" x14ac:dyDescent="0.3">
      <c r="A6" s="4" t="s">
        <v>19</v>
      </c>
      <c r="B6" s="5" t="s">
        <v>9</v>
      </c>
    </row>
    <row r="7" spans="1:6" x14ac:dyDescent="0.3">
      <c r="A7" s="4" t="s">
        <v>20</v>
      </c>
      <c r="B7" s="5" t="s">
        <v>21</v>
      </c>
    </row>
    <row r="8" spans="1:6" x14ac:dyDescent="0.3">
      <c r="A8" s="4" t="s">
        <v>22</v>
      </c>
      <c r="B8" s="5" t="s">
        <v>11</v>
      </c>
    </row>
    <row r="10" spans="1:6" x14ac:dyDescent="0.3">
      <c r="A10" s="25" t="s">
        <v>23</v>
      </c>
      <c r="B10" s="26"/>
      <c r="C10" s="26"/>
      <c r="D10" s="26"/>
      <c r="E10" s="26"/>
      <c r="F10" s="24"/>
    </row>
    <row r="11" spans="1:6" ht="28.8" customHeight="1" x14ac:dyDescent="0.3">
      <c r="A11" s="6" t="s">
        <v>24</v>
      </c>
      <c r="B11" s="6" t="s">
        <v>25</v>
      </c>
      <c r="C11" s="6" t="s">
        <v>26</v>
      </c>
      <c r="D11" s="6" t="s">
        <v>27</v>
      </c>
      <c r="E11" s="6" t="s">
        <v>28</v>
      </c>
      <c r="F11" s="6" t="s">
        <v>29</v>
      </c>
    </row>
    <row r="12" spans="1:6" ht="15.6" customHeight="1" x14ac:dyDescent="0.3">
      <c r="A12" s="2" t="s">
        <v>30</v>
      </c>
      <c r="B12" s="7" t="s">
        <v>31</v>
      </c>
      <c r="C12" s="8">
        <f>COUNTA('10_Order_Service'!$A:$A)-2</f>
        <v>6</v>
      </c>
      <c r="D12" s="8">
        <f>COUNTIF('10_Order_Service'!$H:$H,"High")+COUNTIF('10_Order_Service'!$H:$H,"Critical")</f>
        <v>5</v>
      </c>
      <c r="E12" s="8">
        <f>COUNTIF('10_Order_Service'!$I:$I,"Negative")+COUNTIF('10_Order_Service'!$I:$I,"Edge")+COUNTIF('10_Order_Service'!$I:$I,"Recovery")+COUNTIF('10_Order_Service'!$I:$I,"Security")</f>
        <v>3</v>
      </c>
      <c r="F12" s="8">
        <f>COUNTIF('10_Order_Service'!$J:$J,"Yes")</f>
        <v>5</v>
      </c>
    </row>
    <row r="13" spans="1:6" ht="15.6" customHeight="1" x14ac:dyDescent="0.3">
      <c r="A13" s="2" t="s">
        <v>32</v>
      </c>
      <c r="B13" s="7" t="s">
        <v>33</v>
      </c>
      <c r="C13" s="8">
        <f>COUNTA('20_Payment_Service'!$A:$A)-2</f>
        <v>6</v>
      </c>
      <c r="D13" s="8">
        <f>COUNTIF('20_Payment_Service'!$H:$H,"High")+COUNTIF('20_Payment_Service'!$H:$H,"Critical")</f>
        <v>5</v>
      </c>
      <c r="E13" s="8">
        <f>COUNTIF('20_Payment_Service'!$I:$I,"Negative")+COUNTIF('20_Payment_Service'!$I:$I,"Edge")+COUNTIF('20_Payment_Service'!$I:$I,"Recovery")+COUNTIF('20_Payment_Service'!$I:$I,"Security")</f>
        <v>4</v>
      </c>
      <c r="F13" s="8">
        <f>COUNTIF('20_Payment_Service'!$J:$J,"Yes")</f>
        <v>5</v>
      </c>
    </row>
    <row r="14" spans="1:6" ht="15.6" customHeight="1" x14ac:dyDescent="0.3">
      <c r="A14" s="2" t="s">
        <v>34</v>
      </c>
      <c r="B14" s="7" t="s">
        <v>35</v>
      </c>
      <c r="C14" s="8">
        <f>COUNTA('30_Inventory_Service'!$A:$A)-2</f>
        <v>6</v>
      </c>
      <c r="D14" s="8">
        <f>COUNTIF('30_Inventory_Service'!$H:$H,"High")+COUNTIF('30_Inventory_Service'!$H:$H,"Critical")</f>
        <v>5</v>
      </c>
      <c r="E14" s="8">
        <f>COUNTIF('30_Inventory_Service'!$I:$I,"Negative")+COUNTIF('30_Inventory_Service'!$I:$I,"Edge")+COUNTIF('30_Inventory_Service'!$I:$I,"Recovery")+COUNTIF('30_Inventory_Service'!$I:$I,"Security")</f>
        <v>3</v>
      </c>
      <c r="F14" s="8">
        <f>COUNTIF('30_Inventory_Service'!$J:$J,"Yes")</f>
        <v>5</v>
      </c>
    </row>
    <row r="15" spans="1:6" ht="15.6" customHeight="1" x14ac:dyDescent="0.3">
      <c r="A15" s="2" t="s">
        <v>36</v>
      </c>
      <c r="B15" s="7" t="s">
        <v>37</v>
      </c>
      <c r="C15" s="8">
        <f>COUNTA('40_Notification_Service'!$A:$A)-2</f>
        <v>5</v>
      </c>
      <c r="D15" s="8">
        <f>COUNTIF('40_Notification_Service'!$H:$H,"High")+COUNTIF('40_Notification_Service'!$H:$H,"Critical")</f>
        <v>2</v>
      </c>
      <c r="E15" s="8">
        <f>COUNTIF('40_Notification_Service'!$I:$I,"Negative")+COUNTIF('40_Notification_Service'!$I:$I,"Edge")+COUNTIF('40_Notification_Service'!$I:$I,"Recovery")+COUNTIF('40_Notification_Service'!$I:$I,"Security")</f>
        <v>3</v>
      </c>
      <c r="F15" s="8">
        <f>COUNTIF('40_Notification_Service'!$J:$J,"Yes")</f>
        <v>4</v>
      </c>
    </row>
    <row r="16" spans="1:6" ht="15.6" customHeight="1" x14ac:dyDescent="0.3">
      <c r="A16" s="2" t="s">
        <v>38</v>
      </c>
      <c r="B16" s="7" t="s">
        <v>39</v>
      </c>
      <c r="C16" s="8">
        <f>COUNTA('50_Error_Handling_Resilience'!$A:$A)-2</f>
        <v>5</v>
      </c>
      <c r="D16" s="8">
        <f>COUNTIF('50_Error_Handling_Resilience'!$H:$H,"High")+COUNTIF('50_Error_Handling_Resilience'!$H:$H,"Critical")</f>
        <v>5</v>
      </c>
      <c r="E16" s="8">
        <f>COUNTIF('50_Error_Handling_Resilience'!$I:$I,"Negative")+COUNTIF('50_Error_Handling_Resilience'!$I:$I,"Edge")+COUNTIF('50_Error_Handling_Resilience'!$I:$I,"Recovery")+COUNTIF('50_Error_Handling_Resilience'!$I:$I,"Security")</f>
        <v>5</v>
      </c>
      <c r="F16" s="8">
        <f>COUNTIF('50_Error_Handling_Resilience'!$J:$J,"Yes")</f>
        <v>3</v>
      </c>
    </row>
    <row r="17" spans="1:6" ht="31.2" customHeight="1" x14ac:dyDescent="0.3">
      <c r="A17" s="2" t="s">
        <v>40</v>
      </c>
      <c r="B17" s="7" t="s">
        <v>41</v>
      </c>
      <c r="C17" s="8">
        <f>COUNTA('60_E2E_Event_Flow'!$A:$A)-2</f>
        <v>6</v>
      </c>
      <c r="D17" s="8">
        <f>COUNTIF('60_E2E_Event_Flow'!$H:$H,"High")+COUNTIF('60_E2E_Event_Flow'!$H:$H,"Critical")</f>
        <v>6</v>
      </c>
      <c r="E17" s="8">
        <f>COUNTIF('60_E2E_Event_Flow'!$I:$I,"Negative")+COUNTIF('60_E2E_Event_Flow'!$I:$I,"Edge")+COUNTIF('60_E2E_Event_Flow'!$I:$I,"Recovery")+COUNTIF('60_E2E_Event_Flow'!$I:$I,"Security")</f>
        <v>3</v>
      </c>
      <c r="F17" s="8">
        <f>COUNTIF('60_E2E_Event_Flow'!$J:$J,"Yes")</f>
        <v>6</v>
      </c>
    </row>
    <row r="18" spans="1:6" ht="15.6" customHeight="1" x14ac:dyDescent="0.3">
      <c r="A18" s="9" t="s">
        <v>42</v>
      </c>
      <c r="B18" s="10"/>
      <c r="C18" s="11">
        <f>SUM(C12:C17)</f>
        <v>34</v>
      </c>
      <c r="D18" s="11">
        <f>SUM(D12:D17)</f>
        <v>28</v>
      </c>
      <c r="E18" s="11">
        <f>SUM(E12:E17)</f>
        <v>21</v>
      </c>
      <c r="F18" s="11">
        <f>SUM(F12:F17)</f>
        <v>28</v>
      </c>
    </row>
    <row r="19" spans="1:6" ht="15.6" customHeight="1" x14ac:dyDescent="0.3">
      <c r="A19" s="2"/>
      <c r="B19" s="7"/>
      <c r="C19" s="8"/>
      <c r="D19" s="8"/>
      <c r="E19" s="8"/>
      <c r="F19" s="8"/>
    </row>
    <row r="20" spans="1:6" ht="15.6" customHeight="1" x14ac:dyDescent="0.3">
      <c r="A20" s="2"/>
      <c r="B20" s="7"/>
      <c r="C20" s="8"/>
      <c r="D20" s="8"/>
      <c r="E20" s="8"/>
      <c r="F20" s="8"/>
    </row>
    <row r="21" spans="1:6" ht="31.2" customHeight="1" x14ac:dyDescent="0.3">
      <c r="A21" s="2"/>
      <c r="B21" s="7"/>
      <c r="C21" s="8"/>
      <c r="D21" s="8"/>
      <c r="E21" s="8"/>
      <c r="F21" s="8"/>
    </row>
    <row r="22" spans="1:6" ht="15.6" customHeight="1" x14ac:dyDescent="0.3">
      <c r="A22" s="2"/>
      <c r="B22" s="7"/>
      <c r="C22" s="8"/>
      <c r="D22" s="8"/>
      <c r="E22" s="8"/>
      <c r="F22" s="8"/>
    </row>
    <row r="23" spans="1:6" x14ac:dyDescent="0.3">
      <c r="A23" s="9"/>
      <c r="B23" s="10"/>
      <c r="C23" s="11"/>
      <c r="D23" s="11"/>
      <c r="E23" s="11"/>
      <c r="F23" s="11"/>
    </row>
    <row r="25" spans="1:6" x14ac:dyDescent="0.3">
      <c r="A25" s="25" t="s">
        <v>43</v>
      </c>
      <c r="B25" s="26"/>
      <c r="C25" s="26"/>
      <c r="D25" s="26"/>
      <c r="E25" s="26"/>
      <c r="F25" s="24"/>
    </row>
    <row r="26" spans="1:6" x14ac:dyDescent="0.3">
      <c r="A26" s="3" t="s">
        <v>44</v>
      </c>
      <c r="B26" s="3" t="s">
        <v>45</v>
      </c>
      <c r="D26" s="3" t="s">
        <v>46</v>
      </c>
      <c r="E26" s="3" t="s">
        <v>47</v>
      </c>
    </row>
    <row r="27" spans="1:6" ht="28.8" customHeight="1" x14ac:dyDescent="0.3">
      <c r="A27" s="12" t="s">
        <v>7</v>
      </c>
      <c r="B27" s="13">
        <f>COUNTIF('10_Order_Service'!$L:$L,$A27)+COUNTIF('20_Payment_Service'!$L:$L,$A27)+COUNTIF('30_Inventory_Service'!$L:$L,$A27)+COUNTIF('40_Notification_Service'!$L:$L,$A27)+COUNTIF('50_Error_Handling_Resilience'!$L:$L,$A27)+COUNTIF('60_E2E_Event_Flow'!$L:$L,$A27)</f>
        <v>0</v>
      </c>
      <c r="D27" s="2" t="s">
        <v>48</v>
      </c>
      <c r="E27" s="13">
        <f>C18</f>
        <v>34</v>
      </c>
    </row>
    <row r="28" spans="1:6" x14ac:dyDescent="0.3">
      <c r="A28" s="14" t="s">
        <v>49</v>
      </c>
      <c r="B28" s="13">
        <f>COUNTIF('10_Order_Service'!$L:$L,$A28)+COUNTIF('20_Payment_Service'!$L:$L,$A28)+COUNTIF('30_Inventory_Service'!$L:$L,$A28)+COUNTIF('40_Notification_Service'!$L:$L,$A28)+COUNTIF('50_Error_Handling_Resilience'!$L:$L,$A28)+COUNTIF('60_E2E_Event_Flow'!$L:$L,$A28)</f>
        <v>0</v>
      </c>
      <c r="D28" s="2" t="s">
        <v>50</v>
      </c>
      <c r="E28" s="13">
        <f>SUM(B28:B30)</f>
        <v>0</v>
      </c>
    </row>
    <row r="29" spans="1:6" x14ac:dyDescent="0.3">
      <c r="A29" s="15" t="s">
        <v>51</v>
      </c>
      <c r="B29" s="13">
        <f>COUNTIF('10_Order_Service'!$L:$L,$A29)+COUNTIF('20_Payment_Service'!$L:$L,$A29)+COUNTIF('30_Inventory_Service'!$L:$L,$A29)+COUNTIF('40_Notification_Service'!$L:$L,$A29)+COUNTIF('50_Error_Handling_Resilience'!$L:$L,$A29)+COUNTIF('60_E2E_Event_Flow'!$L:$L,$A29)</f>
        <v>0</v>
      </c>
      <c r="D29" s="2" t="s">
        <v>52</v>
      </c>
      <c r="E29" s="16">
        <f>IF(E27=0,0,E28/E27)</f>
        <v>0</v>
      </c>
    </row>
    <row r="30" spans="1:6" x14ac:dyDescent="0.3">
      <c r="A30" s="17" t="s">
        <v>53</v>
      </c>
      <c r="B30" s="13">
        <f>COUNTIF('10_Order_Service'!$L:$L,$A30)+COUNTIF('20_Payment_Service'!$L:$L,$A30)+COUNTIF('30_Inventory_Service'!$L:$L,$A30)+COUNTIF('40_Notification_Service'!$L:$L,$A30)+COUNTIF('50_Error_Handling_Resilience'!$L:$L,$A30)+COUNTIF('60_E2E_Event_Flow'!$L:$L,$A30)</f>
        <v>0</v>
      </c>
      <c r="D30" s="2" t="s">
        <v>54</v>
      </c>
      <c r="E30" s="16">
        <f>IF(E28=0,0,B28/E28)</f>
        <v>0</v>
      </c>
    </row>
    <row r="31" spans="1:6" x14ac:dyDescent="0.3">
      <c r="A31" s="2"/>
      <c r="B31" s="18"/>
      <c r="D31" s="2" t="s">
        <v>55</v>
      </c>
      <c r="E31" s="16">
        <f>IF(E28=0,0,B29/E28)</f>
        <v>0</v>
      </c>
    </row>
  </sheetData>
  <mergeCells count="5">
    <mergeCell ref="A2:F2"/>
    <mergeCell ref="A10:F10"/>
    <mergeCell ref="A1:F1"/>
    <mergeCell ref="A4:F4"/>
    <mergeCell ref="A25:F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showGridLines="0" topLeftCell="B1" workbookViewId="0">
      <pane ySplit="1" topLeftCell="A2" activePane="bottomLeft" state="frozen"/>
      <selection pane="bottomLeft" sqref="A1:L1"/>
    </sheetView>
  </sheetViews>
  <sheetFormatPr defaultRowHeight="14.4" x14ac:dyDescent="0.3"/>
  <cols>
    <col min="1" max="1" width="10.33203125" bestFit="1" customWidth="1"/>
    <col min="2" max="2" width="12.77734375" bestFit="1" customWidth="1"/>
    <col min="3" max="3" width="41.77734375" bestFit="1" customWidth="1"/>
    <col min="4" max="4" width="27.88671875" bestFit="1" customWidth="1"/>
    <col min="5" max="5" width="41.88671875" bestFit="1" customWidth="1"/>
    <col min="6" max="6" width="21.21875" bestFit="1" customWidth="1"/>
    <col min="7" max="7" width="41.44140625" bestFit="1" customWidth="1"/>
    <col min="8" max="8" width="11.77734375" bestFit="1" customWidth="1"/>
    <col min="9" max="9" width="9.5546875" bestFit="1" customWidth="1"/>
    <col min="10" max="10" width="15.6640625" bestFit="1" customWidth="1"/>
    <col min="11" max="11" width="10.6640625" bestFit="1" customWidth="1"/>
    <col min="12" max="12" width="19.109375" bestFit="1" customWidth="1"/>
  </cols>
  <sheetData>
    <row r="1" spans="1:12" x14ac:dyDescent="0.3">
      <c r="A1" s="30" t="s">
        <v>56</v>
      </c>
      <c r="B1" s="28"/>
      <c r="C1" s="28"/>
      <c r="D1" s="28"/>
      <c r="E1" s="28"/>
      <c r="F1" s="28"/>
      <c r="G1" s="28"/>
      <c r="H1" s="28"/>
      <c r="I1" s="28"/>
      <c r="J1" s="28"/>
      <c r="K1" s="28"/>
      <c r="L1" s="28"/>
    </row>
    <row r="2" spans="1:12" ht="28.8" x14ac:dyDescent="0.3">
      <c r="A2" s="6" t="s">
        <v>57</v>
      </c>
      <c r="B2" s="6" t="s">
        <v>24</v>
      </c>
      <c r="C2" s="6" t="s">
        <v>58</v>
      </c>
      <c r="D2" s="6" t="s">
        <v>59</v>
      </c>
      <c r="E2" s="6" t="s">
        <v>60</v>
      </c>
      <c r="F2" s="6" t="s">
        <v>61</v>
      </c>
      <c r="G2" s="6" t="s">
        <v>62</v>
      </c>
      <c r="H2" s="6" t="s">
        <v>63</v>
      </c>
      <c r="I2" s="6" t="s">
        <v>64</v>
      </c>
      <c r="J2" s="6" t="s">
        <v>65</v>
      </c>
      <c r="K2" s="6" t="s">
        <v>44</v>
      </c>
      <c r="L2" s="6" t="s">
        <v>66</v>
      </c>
    </row>
    <row r="3" spans="1:12" ht="57.6" x14ac:dyDescent="0.3">
      <c r="A3" s="19" t="s">
        <v>67</v>
      </c>
      <c r="B3" s="2" t="s">
        <v>30</v>
      </c>
      <c r="C3" s="2" t="s">
        <v>68</v>
      </c>
      <c r="D3" s="2" t="s">
        <v>69</v>
      </c>
      <c r="E3" s="2" t="s">
        <v>70</v>
      </c>
      <c r="F3" s="2" t="s">
        <v>71</v>
      </c>
      <c r="G3" s="2" t="s">
        <v>72</v>
      </c>
      <c r="H3" s="20" t="s">
        <v>73</v>
      </c>
      <c r="I3" s="20" t="s">
        <v>74</v>
      </c>
      <c r="J3" s="20" t="s">
        <v>75</v>
      </c>
      <c r="K3" s="21" t="s">
        <v>7</v>
      </c>
      <c r="L3" s="22" t="s">
        <v>76</v>
      </c>
    </row>
    <row r="4" spans="1:12" ht="28.8" x14ac:dyDescent="0.3">
      <c r="A4" s="19" t="s">
        <v>77</v>
      </c>
      <c r="B4" s="2" t="s">
        <v>30</v>
      </c>
      <c r="C4" s="2" t="s">
        <v>78</v>
      </c>
      <c r="D4" s="2" t="s">
        <v>79</v>
      </c>
      <c r="E4" s="2" t="s">
        <v>80</v>
      </c>
      <c r="F4" s="2" t="s">
        <v>81</v>
      </c>
      <c r="G4" s="2" t="s">
        <v>82</v>
      </c>
      <c r="H4" s="20" t="s">
        <v>9</v>
      </c>
      <c r="I4" s="20" t="s">
        <v>83</v>
      </c>
      <c r="J4" s="20" t="s">
        <v>75</v>
      </c>
      <c r="K4" s="21" t="s">
        <v>7</v>
      </c>
      <c r="L4" s="22" t="s">
        <v>84</v>
      </c>
    </row>
    <row r="5" spans="1:12" ht="43.2" x14ac:dyDescent="0.3">
      <c r="A5" s="19" t="s">
        <v>85</v>
      </c>
      <c r="B5" s="2" t="s">
        <v>30</v>
      </c>
      <c r="C5" s="2" t="s">
        <v>86</v>
      </c>
      <c r="D5" s="2" t="s">
        <v>87</v>
      </c>
      <c r="E5" s="2" t="s">
        <v>88</v>
      </c>
      <c r="F5" s="2" t="s">
        <v>89</v>
      </c>
      <c r="G5" s="2" t="s">
        <v>90</v>
      </c>
      <c r="H5" s="20" t="s">
        <v>73</v>
      </c>
      <c r="I5" s="20" t="s">
        <v>91</v>
      </c>
      <c r="J5" s="20" t="s">
        <v>75</v>
      </c>
      <c r="K5" s="21" t="s">
        <v>7</v>
      </c>
      <c r="L5" s="22" t="s">
        <v>92</v>
      </c>
    </row>
    <row r="6" spans="1:12" ht="28.8" x14ac:dyDescent="0.3">
      <c r="A6" s="19" t="s">
        <v>93</v>
      </c>
      <c r="B6" s="2" t="s">
        <v>30</v>
      </c>
      <c r="C6" s="2" t="s">
        <v>94</v>
      </c>
      <c r="D6" s="2" t="s">
        <v>79</v>
      </c>
      <c r="E6" s="2" t="s">
        <v>95</v>
      </c>
      <c r="F6" s="2" t="s">
        <v>96</v>
      </c>
      <c r="G6" s="2" t="s">
        <v>97</v>
      </c>
      <c r="H6" s="20" t="s">
        <v>9</v>
      </c>
      <c r="I6" s="20" t="s">
        <v>83</v>
      </c>
      <c r="J6" s="20" t="s">
        <v>75</v>
      </c>
      <c r="K6" s="21" t="s">
        <v>7</v>
      </c>
      <c r="L6" s="22" t="s">
        <v>98</v>
      </c>
    </row>
    <row r="7" spans="1:12" ht="43.2" x14ac:dyDescent="0.3">
      <c r="A7" s="19" t="s">
        <v>99</v>
      </c>
      <c r="B7" s="2" t="s">
        <v>30</v>
      </c>
      <c r="C7" s="2" t="s">
        <v>100</v>
      </c>
      <c r="D7" s="2" t="s">
        <v>101</v>
      </c>
      <c r="E7" s="2" t="s">
        <v>102</v>
      </c>
      <c r="F7" s="2" t="s">
        <v>103</v>
      </c>
      <c r="G7" s="2" t="s">
        <v>104</v>
      </c>
      <c r="H7" s="20" t="s">
        <v>9</v>
      </c>
      <c r="I7" s="20" t="s">
        <v>74</v>
      </c>
      <c r="J7" s="20" t="s">
        <v>75</v>
      </c>
      <c r="K7" s="21" t="s">
        <v>7</v>
      </c>
      <c r="L7" s="22" t="s">
        <v>105</v>
      </c>
    </row>
    <row r="8" spans="1:12" ht="28.8" x14ac:dyDescent="0.3">
      <c r="A8" s="19" t="s">
        <v>106</v>
      </c>
      <c r="B8" s="2" t="s">
        <v>30</v>
      </c>
      <c r="C8" s="2" t="s">
        <v>107</v>
      </c>
      <c r="D8" s="2" t="s">
        <v>108</v>
      </c>
      <c r="E8" s="2" t="s">
        <v>109</v>
      </c>
      <c r="F8" s="2" t="s">
        <v>103</v>
      </c>
      <c r="G8" s="2" t="s">
        <v>110</v>
      </c>
      <c r="H8" s="20" t="s">
        <v>111</v>
      </c>
      <c r="I8" s="20" t="s">
        <v>74</v>
      </c>
      <c r="J8" s="20" t="s">
        <v>112</v>
      </c>
      <c r="K8" s="21" t="s">
        <v>7</v>
      </c>
      <c r="L8" s="22" t="s">
        <v>113</v>
      </c>
    </row>
  </sheetData>
  <autoFilter ref="A2:L8" xr:uid="{00000000-0009-0000-0000-000002000000}"/>
  <mergeCells count="1">
    <mergeCell ref="A1:L1"/>
  </mergeCells>
  <conditionalFormatting sqref="K3:K8">
    <cfRule type="expression" dxfId="23" priority="1">
      <formula>K3="Pass"</formula>
    </cfRule>
    <cfRule type="expression" dxfId="22" priority="2">
      <formula>K3="Fail"</formula>
    </cfRule>
    <cfRule type="expression" dxfId="21" priority="3">
      <formula>K3="Blocked"</formula>
    </cfRule>
    <cfRule type="expression" dxfId="20" priority="4">
      <formula>K3="Not Run"</formula>
    </cfRule>
  </conditionalFormatting>
  <dataValidations count="4">
    <dataValidation type="list" sqref="K3:K8" xr:uid="{00000000-0002-0000-0200-000000000000}">
      <formula1>"Not Run,Pass,Fail,Blocked"</formula1>
    </dataValidation>
    <dataValidation type="list" sqref="H3:H8" xr:uid="{00000000-0002-0000-0200-000001000000}">
      <formula1>"Critical,High,Medium,Low"</formula1>
    </dataValidation>
    <dataValidation type="list" sqref="I3:I8" xr:uid="{00000000-0002-0000-0200-000002000000}">
      <formula1>"Positive,Negative,Regression,Security,Integration,E2E,Usability"</formula1>
    </dataValidation>
    <dataValidation type="list" sqref="J3:J8" xr:uid="{00000000-0002-0000-0200-000003000000}">
      <formula1>"Yes,Later,No"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
  <sheetViews>
    <sheetView showGridLines="0" workbookViewId="0">
      <pane ySplit="1" topLeftCell="A2" activePane="bottomLeft" state="frozen"/>
      <selection pane="bottomLeft" activeCell="E24" sqref="E24"/>
    </sheetView>
  </sheetViews>
  <sheetFormatPr defaultRowHeight="14.4" x14ac:dyDescent="0.3"/>
  <cols>
    <col min="1" max="1" width="10.33203125" bestFit="1" customWidth="1"/>
    <col min="2" max="2" width="15.44140625" bestFit="1" customWidth="1"/>
    <col min="3" max="3" width="41.6640625" bestFit="1" customWidth="1"/>
    <col min="4" max="4" width="27.77734375" bestFit="1" customWidth="1"/>
    <col min="5" max="5" width="41.88671875" bestFit="1" customWidth="1"/>
    <col min="6" max="6" width="23.5546875" bestFit="1" customWidth="1"/>
    <col min="7" max="7" width="42" customWidth="1"/>
    <col min="8" max="8" width="11.77734375" bestFit="1" customWidth="1"/>
    <col min="9" max="9" width="9.5546875" bestFit="1" customWidth="1"/>
    <col min="10" max="10" width="15.6640625" bestFit="1" customWidth="1"/>
    <col min="11" max="11" width="10.6640625" bestFit="1" customWidth="1"/>
    <col min="12" max="12" width="21" bestFit="1" customWidth="1"/>
  </cols>
  <sheetData>
    <row r="1" spans="1:12" x14ac:dyDescent="0.3">
      <c r="A1" s="30" t="s">
        <v>56</v>
      </c>
      <c r="B1" s="28"/>
      <c r="C1" s="28"/>
      <c r="D1" s="28"/>
      <c r="E1" s="28"/>
      <c r="F1" s="28"/>
      <c r="G1" s="28"/>
      <c r="H1" s="28"/>
      <c r="I1" s="28"/>
      <c r="J1" s="28"/>
      <c r="K1" s="28"/>
      <c r="L1" s="28"/>
    </row>
    <row r="2" spans="1:12" ht="28.8" x14ac:dyDescent="0.3">
      <c r="A2" s="6" t="s">
        <v>57</v>
      </c>
      <c r="B2" s="6" t="s">
        <v>24</v>
      </c>
      <c r="C2" s="6" t="s">
        <v>58</v>
      </c>
      <c r="D2" s="6" t="s">
        <v>59</v>
      </c>
      <c r="E2" s="6" t="s">
        <v>60</v>
      </c>
      <c r="F2" s="6" t="s">
        <v>61</v>
      </c>
      <c r="G2" s="6" t="s">
        <v>62</v>
      </c>
      <c r="H2" s="6" t="s">
        <v>63</v>
      </c>
      <c r="I2" s="6" t="s">
        <v>64</v>
      </c>
      <c r="J2" s="6" t="s">
        <v>65</v>
      </c>
      <c r="K2" s="6" t="s">
        <v>44</v>
      </c>
      <c r="L2" s="6" t="s">
        <v>66</v>
      </c>
    </row>
    <row r="3" spans="1:12" ht="43.2" x14ac:dyDescent="0.3">
      <c r="A3" s="19" t="s">
        <v>114</v>
      </c>
      <c r="B3" s="2" t="s">
        <v>32</v>
      </c>
      <c r="C3" s="2" t="s">
        <v>115</v>
      </c>
      <c r="D3" s="2" t="s">
        <v>116</v>
      </c>
      <c r="E3" s="2" t="s">
        <v>117</v>
      </c>
      <c r="F3" s="2" t="s">
        <v>118</v>
      </c>
      <c r="G3" s="2" t="s">
        <v>119</v>
      </c>
      <c r="H3" s="20" t="s">
        <v>73</v>
      </c>
      <c r="I3" s="20" t="s">
        <v>74</v>
      </c>
      <c r="J3" s="20" t="s">
        <v>75</v>
      </c>
      <c r="K3" s="21" t="s">
        <v>7</v>
      </c>
      <c r="L3" s="22" t="s">
        <v>120</v>
      </c>
    </row>
    <row r="4" spans="1:12" ht="43.2" x14ac:dyDescent="0.3">
      <c r="A4" s="19" t="s">
        <v>121</v>
      </c>
      <c r="B4" s="2" t="s">
        <v>32</v>
      </c>
      <c r="C4" s="2" t="s">
        <v>122</v>
      </c>
      <c r="D4" s="2" t="s">
        <v>123</v>
      </c>
      <c r="E4" s="2" t="s">
        <v>124</v>
      </c>
      <c r="F4" s="2" t="s">
        <v>125</v>
      </c>
      <c r="G4" s="2" t="s">
        <v>126</v>
      </c>
      <c r="H4" s="20" t="s">
        <v>73</v>
      </c>
      <c r="I4" s="20" t="s">
        <v>83</v>
      </c>
      <c r="J4" s="20" t="s">
        <v>75</v>
      </c>
      <c r="K4" s="21" t="s">
        <v>7</v>
      </c>
      <c r="L4" s="22" t="s">
        <v>127</v>
      </c>
    </row>
    <row r="5" spans="1:12" ht="28.8" x14ac:dyDescent="0.3">
      <c r="A5" s="19" t="s">
        <v>128</v>
      </c>
      <c r="B5" s="2" t="s">
        <v>32</v>
      </c>
      <c r="C5" s="2" t="s">
        <v>129</v>
      </c>
      <c r="D5" s="2" t="s">
        <v>130</v>
      </c>
      <c r="E5" s="2" t="s">
        <v>131</v>
      </c>
      <c r="F5" s="2" t="s">
        <v>132</v>
      </c>
      <c r="G5" s="2" t="s">
        <v>133</v>
      </c>
      <c r="H5" s="20" t="s">
        <v>73</v>
      </c>
      <c r="I5" s="20" t="s">
        <v>91</v>
      </c>
      <c r="J5" s="20" t="s">
        <v>75</v>
      </c>
      <c r="K5" s="21" t="s">
        <v>7</v>
      </c>
      <c r="L5" s="22" t="s">
        <v>134</v>
      </c>
    </row>
    <row r="6" spans="1:12" ht="28.8" x14ac:dyDescent="0.3">
      <c r="A6" s="19" t="s">
        <v>135</v>
      </c>
      <c r="B6" s="2" t="s">
        <v>32</v>
      </c>
      <c r="C6" s="2" t="s">
        <v>136</v>
      </c>
      <c r="D6" s="2" t="s">
        <v>137</v>
      </c>
      <c r="E6" s="2" t="s">
        <v>138</v>
      </c>
      <c r="F6" s="2" t="s">
        <v>139</v>
      </c>
      <c r="G6" s="2" t="s">
        <v>140</v>
      </c>
      <c r="H6" s="20" t="s">
        <v>9</v>
      </c>
      <c r="I6" s="20" t="s">
        <v>83</v>
      </c>
      <c r="J6" s="20" t="s">
        <v>75</v>
      </c>
      <c r="K6" s="21" t="s">
        <v>7</v>
      </c>
      <c r="L6" s="22" t="s">
        <v>141</v>
      </c>
    </row>
    <row r="7" spans="1:12" ht="43.2" x14ac:dyDescent="0.3">
      <c r="A7" s="19" t="s">
        <v>142</v>
      </c>
      <c r="B7" s="2" t="s">
        <v>32</v>
      </c>
      <c r="C7" s="2" t="s">
        <v>143</v>
      </c>
      <c r="D7" s="2" t="s">
        <v>144</v>
      </c>
      <c r="E7" s="2" t="s">
        <v>145</v>
      </c>
      <c r="F7" s="2" t="s">
        <v>146</v>
      </c>
      <c r="G7" s="2" t="s">
        <v>147</v>
      </c>
      <c r="H7" s="20" t="s">
        <v>9</v>
      </c>
      <c r="I7" s="20" t="s">
        <v>148</v>
      </c>
      <c r="J7" s="20" t="s">
        <v>75</v>
      </c>
      <c r="K7" s="21" t="s">
        <v>7</v>
      </c>
      <c r="L7" s="22" t="s">
        <v>149</v>
      </c>
    </row>
    <row r="8" spans="1:12" ht="28.8" x14ac:dyDescent="0.3">
      <c r="A8" s="19" t="s">
        <v>150</v>
      </c>
      <c r="B8" s="2" t="s">
        <v>32</v>
      </c>
      <c r="C8" s="2" t="s">
        <v>151</v>
      </c>
      <c r="D8" s="2" t="s">
        <v>152</v>
      </c>
      <c r="E8" s="2" t="s">
        <v>153</v>
      </c>
      <c r="F8" s="2" t="s">
        <v>154</v>
      </c>
      <c r="G8" s="2" t="s">
        <v>155</v>
      </c>
      <c r="H8" s="20" t="s">
        <v>111</v>
      </c>
      <c r="I8" s="20" t="s">
        <v>74</v>
      </c>
      <c r="J8" s="20" t="s">
        <v>112</v>
      </c>
      <c r="K8" s="21" t="s">
        <v>7</v>
      </c>
      <c r="L8" s="22" t="s">
        <v>156</v>
      </c>
    </row>
  </sheetData>
  <autoFilter ref="A2:L8" xr:uid="{00000000-0009-0000-0000-000003000000}"/>
  <mergeCells count="1">
    <mergeCell ref="A1:L1"/>
  </mergeCells>
  <conditionalFormatting sqref="K3:K9">
    <cfRule type="expression" dxfId="19" priority="1">
      <formula>K3="Pass"</formula>
    </cfRule>
    <cfRule type="expression" dxfId="18" priority="2">
      <formula>K3="Fail"</formula>
    </cfRule>
    <cfRule type="expression" dxfId="17" priority="3">
      <formula>K3="Blocked"</formula>
    </cfRule>
    <cfRule type="expression" dxfId="16" priority="4">
      <formula>K3="Not Run"</formula>
    </cfRule>
  </conditionalFormatting>
  <dataValidations count="4">
    <dataValidation type="list" sqref="K3:K9" xr:uid="{00000000-0002-0000-0300-000000000000}">
      <formula1>"Not Run,Pass,Fail,Blocked"</formula1>
    </dataValidation>
    <dataValidation type="list" sqref="H3:H9" xr:uid="{00000000-0002-0000-0300-000001000000}">
      <formula1>"Critical,High,Medium,Low"</formula1>
    </dataValidation>
    <dataValidation type="list" sqref="I3:I9" xr:uid="{00000000-0002-0000-0300-000002000000}">
      <formula1>"Positive,Negative,Regression,Security,Integration,E2E,Usability"</formula1>
    </dataValidation>
    <dataValidation type="list" sqref="J3:J9" xr:uid="{00000000-0002-0000-0300-000003000000}">
      <formula1>"Yes,Later,No"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
  <sheetViews>
    <sheetView showGridLines="0" topLeftCell="C1" workbookViewId="0">
      <pane ySplit="1" topLeftCell="A2" activePane="bottomLeft" state="frozen"/>
      <selection pane="bottomLeft" sqref="A1:XFD1048576"/>
    </sheetView>
  </sheetViews>
  <sheetFormatPr defaultRowHeight="14.4" x14ac:dyDescent="0.3"/>
  <cols>
    <col min="1" max="1" width="10.33203125" bestFit="1" customWidth="1"/>
    <col min="2" max="2" width="16.109375" bestFit="1" customWidth="1"/>
    <col min="3" max="3" width="42" customWidth="1"/>
    <col min="4" max="4" width="27.33203125" bestFit="1" customWidth="1"/>
    <col min="5" max="5" width="39.109375" bestFit="1" customWidth="1"/>
    <col min="6" max="6" width="21.33203125" bestFit="1" customWidth="1"/>
    <col min="7" max="7" width="41.88671875" bestFit="1" customWidth="1"/>
    <col min="8" max="8" width="11.77734375" bestFit="1" customWidth="1"/>
    <col min="9" max="9" width="9.5546875" bestFit="1" customWidth="1"/>
    <col min="10" max="10" width="15.6640625" bestFit="1" customWidth="1"/>
    <col min="11" max="11" width="10.6640625" bestFit="1" customWidth="1"/>
    <col min="12" max="12" width="21.88671875" bestFit="1" customWidth="1"/>
  </cols>
  <sheetData>
    <row r="1" spans="1:12" x14ac:dyDescent="0.3">
      <c r="A1" s="30" t="s">
        <v>56</v>
      </c>
      <c r="B1" s="28"/>
      <c r="C1" s="28"/>
      <c r="D1" s="28"/>
      <c r="E1" s="28"/>
      <c r="F1" s="28"/>
      <c r="G1" s="28"/>
      <c r="H1" s="28"/>
      <c r="I1" s="28"/>
      <c r="J1" s="28"/>
      <c r="K1" s="28"/>
      <c r="L1" s="28"/>
    </row>
    <row r="2" spans="1:12" ht="28.8" x14ac:dyDescent="0.3">
      <c r="A2" s="6" t="s">
        <v>57</v>
      </c>
      <c r="B2" s="6" t="s">
        <v>24</v>
      </c>
      <c r="C2" s="6" t="s">
        <v>58</v>
      </c>
      <c r="D2" s="6" t="s">
        <v>59</v>
      </c>
      <c r="E2" s="6" t="s">
        <v>60</v>
      </c>
      <c r="F2" s="6" t="s">
        <v>61</v>
      </c>
      <c r="G2" s="6" t="s">
        <v>62</v>
      </c>
      <c r="H2" s="6" t="s">
        <v>63</v>
      </c>
      <c r="I2" s="6" t="s">
        <v>64</v>
      </c>
      <c r="J2" s="6" t="s">
        <v>65</v>
      </c>
      <c r="K2" s="6" t="s">
        <v>44</v>
      </c>
      <c r="L2" s="6" t="s">
        <v>66</v>
      </c>
    </row>
    <row r="3" spans="1:12" ht="43.2" x14ac:dyDescent="0.3">
      <c r="A3" s="19" t="s">
        <v>157</v>
      </c>
      <c r="B3" s="2" t="s">
        <v>34</v>
      </c>
      <c r="C3" s="2" t="s">
        <v>158</v>
      </c>
      <c r="D3" s="2" t="s">
        <v>159</v>
      </c>
      <c r="E3" s="2" t="s">
        <v>160</v>
      </c>
      <c r="F3" s="2" t="s">
        <v>161</v>
      </c>
      <c r="G3" s="2" t="s">
        <v>162</v>
      </c>
      <c r="H3" s="20" t="s">
        <v>73</v>
      </c>
      <c r="I3" s="20" t="s">
        <v>74</v>
      </c>
      <c r="J3" s="20" t="s">
        <v>75</v>
      </c>
      <c r="K3" s="21" t="s">
        <v>7</v>
      </c>
      <c r="L3" s="22" t="s">
        <v>163</v>
      </c>
    </row>
    <row r="4" spans="1:12" ht="28.8" x14ac:dyDescent="0.3">
      <c r="A4" s="19" t="s">
        <v>164</v>
      </c>
      <c r="B4" s="2" t="s">
        <v>34</v>
      </c>
      <c r="C4" s="2" t="s">
        <v>165</v>
      </c>
      <c r="D4" s="2" t="s">
        <v>166</v>
      </c>
      <c r="E4" s="2" t="s">
        <v>167</v>
      </c>
      <c r="F4" s="2" t="s">
        <v>168</v>
      </c>
      <c r="G4" s="2" t="s">
        <v>169</v>
      </c>
      <c r="H4" s="20" t="s">
        <v>9</v>
      </c>
      <c r="I4" s="20" t="s">
        <v>83</v>
      </c>
      <c r="J4" s="20" t="s">
        <v>75</v>
      </c>
      <c r="K4" s="21" t="s">
        <v>7</v>
      </c>
      <c r="L4" s="22" t="s">
        <v>170</v>
      </c>
    </row>
    <row r="5" spans="1:12" ht="28.8" x14ac:dyDescent="0.3">
      <c r="A5" s="19" t="s">
        <v>171</v>
      </c>
      <c r="B5" s="2" t="s">
        <v>34</v>
      </c>
      <c r="C5" s="2" t="s">
        <v>172</v>
      </c>
      <c r="D5" s="2" t="s">
        <v>173</v>
      </c>
      <c r="E5" s="2" t="s">
        <v>174</v>
      </c>
      <c r="F5" s="2" t="s">
        <v>132</v>
      </c>
      <c r="G5" s="2" t="s">
        <v>175</v>
      </c>
      <c r="H5" s="20" t="s">
        <v>73</v>
      </c>
      <c r="I5" s="20" t="s">
        <v>91</v>
      </c>
      <c r="J5" s="20" t="s">
        <v>75</v>
      </c>
      <c r="K5" s="21" t="s">
        <v>7</v>
      </c>
      <c r="L5" s="22" t="s">
        <v>176</v>
      </c>
    </row>
    <row r="6" spans="1:12" ht="43.2" x14ac:dyDescent="0.3">
      <c r="A6" s="19" t="s">
        <v>177</v>
      </c>
      <c r="B6" s="2" t="s">
        <v>34</v>
      </c>
      <c r="C6" s="2" t="s">
        <v>178</v>
      </c>
      <c r="D6" s="2" t="s">
        <v>179</v>
      </c>
      <c r="E6" s="2" t="s">
        <v>180</v>
      </c>
      <c r="F6" s="2" t="s">
        <v>181</v>
      </c>
      <c r="G6" s="2" t="s">
        <v>182</v>
      </c>
      <c r="H6" s="20" t="s">
        <v>9</v>
      </c>
      <c r="I6" s="20" t="s">
        <v>91</v>
      </c>
      <c r="J6" s="20" t="s">
        <v>75</v>
      </c>
      <c r="K6" s="21" t="s">
        <v>7</v>
      </c>
      <c r="L6" s="22" t="s">
        <v>183</v>
      </c>
    </row>
    <row r="7" spans="1:12" ht="28.8" x14ac:dyDescent="0.3">
      <c r="A7" s="19" t="s">
        <v>184</v>
      </c>
      <c r="B7" s="2" t="s">
        <v>34</v>
      </c>
      <c r="C7" s="2" t="s">
        <v>185</v>
      </c>
      <c r="D7" s="2" t="s">
        <v>186</v>
      </c>
      <c r="E7" s="2" t="s">
        <v>187</v>
      </c>
      <c r="F7" s="2" t="s">
        <v>188</v>
      </c>
      <c r="G7" s="2" t="s">
        <v>189</v>
      </c>
      <c r="H7" s="20" t="s">
        <v>9</v>
      </c>
      <c r="I7" s="20" t="s">
        <v>74</v>
      </c>
      <c r="J7" s="20" t="s">
        <v>75</v>
      </c>
      <c r="K7" s="21" t="s">
        <v>7</v>
      </c>
      <c r="L7" s="22" t="s">
        <v>190</v>
      </c>
    </row>
    <row r="8" spans="1:12" ht="28.8" x14ac:dyDescent="0.3">
      <c r="A8" s="19" t="s">
        <v>191</v>
      </c>
      <c r="B8" s="2" t="s">
        <v>34</v>
      </c>
      <c r="C8" s="2" t="s">
        <v>192</v>
      </c>
      <c r="D8" s="2" t="s">
        <v>193</v>
      </c>
      <c r="E8" s="2" t="s">
        <v>194</v>
      </c>
      <c r="F8" s="2" t="s">
        <v>195</v>
      </c>
      <c r="G8" s="2" t="s">
        <v>196</v>
      </c>
      <c r="H8" s="20" t="s">
        <v>111</v>
      </c>
      <c r="I8" s="20" t="s">
        <v>74</v>
      </c>
      <c r="J8" s="20" t="s">
        <v>112</v>
      </c>
      <c r="K8" s="21" t="s">
        <v>7</v>
      </c>
      <c r="L8" s="22" t="s">
        <v>197</v>
      </c>
    </row>
  </sheetData>
  <autoFilter ref="A2:L8" xr:uid="{00000000-0009-0000-0000-000004000000}"/>
  <mergeCells count="1">
    <mergeCell ref="A1:L1"/>
  </mergeCells>
  <conditionalFormatting sqref="K3:K8">
    <cfRule type="expression" dxfId="15" priority="1">
      <formula>K3="Pass"</formula>
    </cfRule>
    <cfRule type="expression" dxfId="14" priority="2">
      <formula>K3="Fail"</formula>
    </cfRule>
    <cfRule type="expression" dxfId="13" priority="3">
      <formula>K3="Blocked"</formula>
    </cfRule>
    <cfRule type="expression" dxfId="12" priority="4">
      <formula>K3="Not Run"</formula>
    </cfRule>
  </conditionalFormatting>
  <dataValidations count="4">
    <dataValidation type="list" sqref="K3:K8" xr:uid="{00000000-0002-0000-0400-000000000000}">
      <formula1>"Not Run,Pass,Fail,Blocked"</formula1>
    </dataValidation>
    <dataValidation type="list" sqref="H3:H8" xr:uid="{00000000-0002-0000-0400-000001000000}">
      <formula1>"Critical,High,Medium,Low"</formula1>
    </dataValidation>
    <dataValidation type="list" sqref="I3:I8" xr:uid="{00000000-0002-0000-0400-000002000000}">
      <formula1>"Positive,Negative,Regression,Security,Integration,E2E,Usability"</formula1>
    </dataValidation>
    <dataValidation type="list" sqref="J3:J8" xr:uid="{00000000-0002-0000-0400-000003000000}">
      <formula1>"Yes,Later,No"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workbookViewId="0">
      <pane ySplit="1" topLeftCell="A2" activePane="bottomLeft" state="frozen"/>
      <selection pane="bottomLeft" sqref="A1:XFD1048576"/>
    </sheetView>
  </sheetViews>
  <sheetFormatPr defaultRowHeight="14.4" x14ac:dyDescent="0.3"/>
  <cols>
    <col min="1" max="1" width="10.33203125" bestFit="1" customWidth="1"/>
    <col min="2" max="2" width="18.21875" bestFit="1" customWidth="1"/>
    <col min="3" max="3" width="41.88671875" bestFit="1" customWidth="1"/>
    <col min="4" max="4" width="27.77734375" bestFit="1" customWidth="1"/>
    <col min="5" max="5" width="39.109375" bestFit="1" customWidth="1"/>
    <col min="6" max="6" width="24" customWidth="1"/>
    <col min="7" max="7" width="41.6640625" bestFit="1" customWidth="1"/>
    <col min="8" max="8" width="11.77734375" bestFit="1" customWidth="1"/>
    <col min="9" max="9" width="9.5546875" bestFit="1" customWidth="1"/>
    <col min="10" max="10" width="15.6640625" bestFit="1" customWidth="1"/>
    <col min="11" max="11" width="10.6640625" bestFit="1" customWidth="1"/>
    <col min="12" max="12" width="23.44140625" bestFit="1" customWidth="1"/>
  </cols>
  <sheetData>
    <row r="1" spans="1:12" x14ac:dyDescent="0.3">
      <c r="A1" s="30" t="s">
        <v>56</v>
      </c>
      <c r="B1" s="28"/>
      <c r="C1" s="28"/>
      <c r="D1" s="28"/>
      <c r="E1" s="28"/>
      <c r="F1" s="28"/>
      <c r="G1" s="28"/>
      <c r="H1" s="28"/>
      <c r="I1" s="28"/>
      <c r="J1" s="28"/>
      <c r="K1" s="28"/>
      <c r="L1" s="28"/>
    </row>
    <row r="2" spans="1:12" ht="28.8" x14ac:dyDescent="0.3">
      <c r="A2" s="6" t="s">
        <v>57</v>
      </c>
      <c r="B2" s="6" t="s">
        <v>24</v>
      </c>
      <c r="C2" s="6" t="s">
        <v>58</v>
      </c>
      <c r="D2" s="6" t="s">
        <v>59</v>
      </c>
      <c r="E2" s="6" t="s">
        <v>60</v>
      </c>
      <c r="F2" s="6" t="s">
        <v>61</v>
      </c>
      <c r="G2" s="6" t="s">
        <v>62</v>
      </c>
      <c r="H2" s="6" t="s">
        <v>63</v>
      </c>
      <c r="I2" s="6" t="s">
        <v>64</v>
      </c>
      <c r="J2" s="6" t="s">
        <v>65</v>
      </c>
      <c r="K2" s="6" t="s">
        <v>44</v>
      </c>
      <c r="L2" s="6" t="s">
        <v>66</v>
      </c>
    </row>
    <row r="3" spans="1:12" ht="28.8" x14ac:dyDescent="0.3">
      <c r="A3" s="19" t="s">
        <v>198</v>
      </c>
      <c r="B3" s="2" t="s">
        <v>36</v>
      </c>
      <c r="C3" s="2" t="s">
        <v>199</v>
      </c>
      <c r="D3" s="2" t="s">
        <v>200</v>
      </c>
      <c r="E3" s="2" t="s">
        <v>201</v>
      </c>
      <c r="F3" s="2" t="s">
        <v>202</v>
      </c>
      <c r="G3" s="2" t="s">
        <v>203</v>
      </c>
      <c r="H3" s="20" t="s">
        <v>111</v>
      </c>
      <c r="I3" s="20" t="s">
        <v>74</v>
      </c>
      <c r="J3" s="20" t="s">
        <v>75</v>
      </c>
      <c r="K3" s="21" t="s">
        <v>7</v>
      </c>
      <c r="L3" s="22" t="s">
        <v>204</v>
      </c>
    </row>
    <row r="4" spans="1:12" ht="43.2" x14ac:dyDescent="0.3">
      <c r="A4" s="19" t="s">
        <v>205</v>
      </c>
      <c r="B4" s="2" t="s">
        <v>36</v>
      </c>
      <c r="C4" s="2" t="s">
        <v>206</v>
      </c>
      <c r="D4" s="2" t="s">
        <v>207</v>
      </c>
      <c r="E4" s="2" t="s">
        <v>208</v>
      </c>
      <c r="F4" s="2" t="s">
        <v>209</v>
      </c>
      <c r="G4" s="2" t="s">
        <v>210</v>
      </c>
      <c r="H4" s="20" t="s">
        <v>111</v>
      </c>
      <c r="I4" s="20" t="s">
        <v>83</v>
      </c>
      <c r="J4" s="20" t="s">
        <v>75</v>
      </c>
      <c r="K4" s="21" t="s">
        <v>7</v>
      </c>
      <c r="L4" s="22" t="s">
        <v>211</v>
      </c>
    </row>
    <row r="5" spans="1:12" ht="28.8" x14ac:dyDescent="0.3">
      <c r="A5" s="19" t="s">
        <v>212</v>
      </c>
      <c r="B5" s="2" t="s">
        <v>36</v>
      </c>
      <c r="C5" s="2" t="s">
        <v>213</v>
      </c>
      <c r="D5" s="2" t="s">
        <v>214</v>
      </c>
      <c r="E5" s="2" t="s">
        <v>215</v>
      </c>
      <c r="F5" s="2" t="s">
        <v>216</v>
      </c>
      <c r="G5" s="2" t="s">
        <v>217</v>
      </c>
      <c r="H5" s="20" t="s">
        <v>9</v>
      </c>
      <c r="I5" s="20" t="s">
        <v>148</v>
      </c>
      <c r="J5" s="20" t="s">
        <v>75</v>
      </c>
      <c r="K5" s="21" t="s">
        <v>7</v>
      </c>
      <c r="L5" s="22" t="s">
        <v>218</v>
      </c>
    </row>
    <row r="6" spans="1:12" ht="28.8" x14ac:dyDescent="0.3">
      <c r="A6" s="19" t="s">
        <v>219</v>
      </c>
      <c r="B6" s="2" t="s">
        <v>36</v>
      </c>
      <c r="C6" s="2" t="s">
        <v>220</v>
      </c>
      <c r="D6" s="2" t="s">
        <v>221</v>
      </c>
      <c r="E6" s="2" t="s">
        <v>222</v>
      </c>
      <c r="F6" s="2" t="s">
        <v>223</v>
      </c>
      <c r="G6" s="2" t="s">
        <v>224</v>
      </c>
      <c r="H6" s="20" t="s">
        <v>9</v>
      </c>
      <c r="I6" s="20" t="s">
        <v>91</v>
      </c>
      <c r="J6" s="20" t="s">
        <v>75</v>
      </c>
      <c r="K6" s="21" t="s">
        <v>7</v>
      </c>
      <c r="L6" s="22" t="s">
        <v>225</v>
      </c>
    </row>
    <row r="7" spans="1:12" ht="28.8" x14ac:dyDescent="0.3">
      <c r="A7" s="19" t="s">
        <v>226</v>
      </c>
      <c r="B7" s="2" t="s">
        <v>36</v>
      </c>
      <c r="C7" s="2" t="s">
        <v>227</v>
      </c>
      <c r="D7" s="2" t="s">
        <v>228</v>
      </c>
      <c r="E7" s="2" t="s">
        <v>229</v>
      </c>
      <c r="F7" s="2" t="s">
        <v>230</v>
      </c>
      <c r="G7" s="2" t="s">
        <v>231</v>
      </c>
      <c r="H7" s="20" t="s">
        <v>111</v>
      </c>
      <c r="I7" s="20" t="s">
        <v>74</v>
      </c>
      <c r="J7" s="20" t="s">
        <v>112</v>
      </c>
      <c r="K7" s="21" t="s">
        <v>7</v>
      </c>
      <c r="L7" s="22" t="s">
        <v>232</v>
      </c>
    </row>
  </sheetData>
  <autoFilter ref="A2:L7" xr:uid="{00000000-0009-0000-0000-000005000000}"/>
  <mergeCells count="1">
    <mergeCell ref="A1:L1"/>
  </mergeCells>
  <conditionalFormatting sqref="K3:K7">
    <cfRule type="expression" dxfId="11" priority="1">
      <formula>K3="Pass"</formula>
    </cfRule>
    <cfRule type="expression" dxfId="10" priority="2">
      <formula>K3="Fail"</formula>
    </cfRule>
    <cfRule type="expression" dxfId="9" priority="3">
      <formula>K3="Blocked"</formula>
    </cfRule>
    <cfRule type="expression" dxfId="8" priority="4">
      <formula>K3="Not Run"</formula>
    </cfRule>
  </conditionalFormatting>
  <dataValidations count="4">
    <dataValidation type="list" sqref="K3:K7" xr:uid="{00000000-0002-0000-0500-000000000000}">
      <formula1>"Not Run,Pass,Fail,Blocked"</formula1>
    </dataValidation>
    <dataValidation type="list" sqref="H3:H7" xr:uid="{00000000-0002-0000-0500-000001000000}">
      <formula1>"Critical,High,Medium,Low"</formula1>
    </dataValidation>
    <dataValidation type="list" sqref="I3:I7" xr:uid="{00000000-0002-0000-0500-000002000000}">
      <formula1>"Positive,Negative,Regression,Security,Integration,E2E,Usability"</formula1>
    </dataValidation>
    <dataValidation type="list" sqref="J3:J7" xr:uid="{00000000-0002-0000-0500-000003000000}">
      <formula1>"Yes,Later,No"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
  <sheetViews>
    <sheetView showGridLines="0" topLeftCell="C1" workbookViewId="0">
      <pane ySplit="1" topLeftCell="A2" activePane="bottomLeft" state="frozen"/>
      <selection pane="bottomLeft" sqref="A1:XFD1048576"/>
    </sheetView>
  </sheetViews>
  <sheetFormatPr defaultRowHeight="14.4" x14ac:dyDescent="0.3"/>
  <cols>
    <col min="1" max="1" width="10.33203125" bestFit="1" customWidth="1"/>
    <col min="2" max="2" width="15.109375" bestFit="1" customWidth="1"/>
    <col min="3" max="3" width="41.88671875" bestFit="1" customWidth="1"/>
    <col min="4" max="4" width="27.88671875" bestFit="1" customWidth="1"/>
    <col min="5" max="5" width="39.88671875" bestFit="1" customWidth="1"/>
    <col min="6" max="6" width="23.6640625" bestFit="1" customWidth="1"/>
    <col min="7" max="7" width="41.5546875" bestFit="1" customWidth="1"/>
    <col min="8" max="8" width="11.77734375" bestFit="1" customWidth="1"/>
    <col min="9" max="9" width="9.5546875" bestFit="1" customWidth="1"/>
    <col min="10" max="10" width="15.6640625" bestFit="1" customWidth="1"/>
    <col min="11" max="11" width="10.6640625" bestFit="1" customWidth="1"/>
    <col min="12" max="12" width="21.6640625" bestFit="1" customWidth="1"/>
  </cols>
  <sheetData>
    <row r="1" spans="1:12" x14ac:dyDescent="0.3">
      <c r="A1" s="30" t="s">
        <v>56</v>
      </c>
      <c r="B1" s="28"/>
      <c r="C1" s="28"/>
      <c r="D1" s="28"/>
      <c r="E1" s="28"/>
      <c r="F1" s="28"/>
      <c r="G1" s="28"/>
      <c r="H1" s="28"/>
      <c r="I1" s="28"/>
      <c r="J1" s="28"/>
      <c r="K1" s="28"/>
      <c r="L1" s="28"/>
    </row>
    <row r="2" spans="1:12" ht="28.8" x14ac:dyDescent="0.3">
      <c r="A2" s="6" t="s">
        <v>57</v>
      </c>
      <c r="B2" s="6" t="s">
        <v>24</v>
      </c>
      <c r="C2" s="6" t="s">
        <v>58</v>
      </c>
      <c r="D2" s="6" t="s">
        <v>59</v>
      </c>
      <c r="E2" s="6" t="s">
        <v>60</v>
      </c>
      <c r="F2" s="6" t="s">
        <v>61</v>
      </c>
      <c r="G2" s="6" t="s">
        <v>62</v>
      </c>
      <c r="H2" s="6" t="s">
        <v>63</v>
      </c>
      <c r="I2" s="6" t="s">
        <v>64</v>
      </c>
      <c r="J2" s="6" t="s">
        <v>65</v>
      </c>
      <c r="K2" s="6" t="s">
        <v>44</v>
      </c>
      <c r="L2" s="6" t="s">
        <v>66</v>
      </c>
    </row>
    <row r="3" spans="1:12" ht="28.8" x14ac:dyDescent="0.3">
      <c r="A3" s="19" t="s">
        <v>233</v>
      </c>
      <c r="B3" s="2" t="s">
        <v>38</v>
      </c>
      <c r="C3" s="2" t="s">
        <v>234</v>
      </c>
      <c r="D3" s="2" t="s">
        <v>235</v>
      </c>
      <c r="E3" s="2" t="s">
        <v>236</v>
      </c>
      <c r="F3" s="2" t="s">
        <v>237</v>
      </c>
      <c r="G3" s="2" t="s">
        <v>238</v>
      </c>
      <c r="H3" s="20" t="s">
        <v>73</v>
      </c>
      <c r="I3" s="20" t="s">
        <v>83</v>
      </c>
      <c r="J3" s="20" t="s">
        <v>75</v>
      </c>
      <c r="K3" s="21" t="s">
        <v>7</v>
      </c>
      <c r="L3" s="22" t="s">
        <v>239</v>
      </c>
    </row>
    <row r="4" spans="1:12" ht="43.2" x14ac:dyDescent="0.3">
      <c r="A4" s="19" t="s">
        <v>240</v>
      </c>
      <c r="B4" s="2" t="s">
        <v>38</v>
      </c>
      <c r="C4" s="2" t="s">
        <v>241</v>
      </c>
      <c r="D4" s="2" t="s">
        <v>242</v>
      </c>
      <c r="E4" s="2" t="s">
        <v>243</v>
      </c>
      <c r="F4" s="2" t="s">
        <v>244</v>
      </c>
      <c r="G4" s="2" t="s">
        <v>245</v>
      </c>
      <c r="H4" s="20" t="s">
        <v>73</v>
      </c>
      <c r="I4" s="20" t="s">
        <v>148</v>
      </c>
      <c r="J4" s="20" t="s">
        <v>75</v>
      </c>
      <c r="K4" s="21" t="s">
        <v>7</v>
      </c>
      <c r="L4" s="22" t="s">
        <v>246</v>
      </c>
    </row>
    <row r="5" spans="1:12" ht="57.6" x14ac:dyDescent="0.3">
      <c r="A5" s="19" t="s">
        <v>247</v>
      </c>
      <c r="B5" s="2" t="s">
        <v>38</v>
      </c>
      <c r="C5" s="2" t="s">
        <v>248</v>
      </c>
      <c r="D5" s="2" t="s">
        <v>249</v>
      </c>
      <c r="E5" s="2" t="s">
        <v>250</v>
      </c>
      <c r="F5" s="2" t="s">
        <v>251</v>
      </c>
      <c r="G5" s="2" t="s">
        <v>252</v>
      </c>
      <c r="H5" s="20" t="s">
        <v>9</v>
      </c>
      <c r="I5" s="20" t="s">
        <v>148</v>
      </c>
      <c r="J5" s="20" t="s">
        <v>75</v>
      </c>
      <c r="K5" s="21" t="s">
        <v>7</v>
      </c>
      <c r="L5" s="22" t="s">
        <v>253</v>
      </c>
    </row>
    <row r="6" spans="1:12" ht="28.8" x14ac:dyDescent="0.3">
      <c r="A6" s="19" t="s">
        <v>254</v>
      </c>
      <c r="B6" s="2" t="s">
        <v>38</v>
      </c>
      <c r="C6" s="2" t="s">
        <v>255</v>
      </c>
      <c r="D6" s="2" t="s">
        <v>256</v>
      </c>
      <c r="E6" s="2" t="s">
        <v>257</v>
      </c>
      <c r="F6" s="2" t="s">
        <v>258</v>
      </c>
      <c r="G6" s="2" t="s">
        <v>259</v>
      </c>
      <c r="H6" s="20" t="s">
        <v>9</v>
      </c>
      <c r="I6" s="20" t="s">
        <v>91</v>
      </c>
      <c r="J6" s="20" t="s">
        <v>112</v>
      </c>
      <c r="K6" s="21" t="s">
        <v>7</v>
      </c>
      <c r="L6" s="22" t="s">
        <v>260</v>
      </c>
    </row>
    <row r="7" spans="1:12" ht="28.8" x14ac:dyDescent="0.3">
      <c r="A7" s="19" t="s">
        <v>261</v>
      </c>
      <c r="B7" s="2" t="s">
        <v>38</v>
      </c>
      <c r="C7" s="2" t="s">
        <v>262</v>
      </c>
      <c r="D7" s="2" t="s">
        <v>263</v>
      </c>
      <c r="E7" s="2" t="s">
        <v>264</v>
      </c>
      <c r="F7" s="2" t="s">
        <v>265</v>
      </c>
      <c r="G7" s="2" t="s">
        <v>266</v>
      </c>
      <c r="H7" s="20" t="s">
        <v>9</v>
      </c>
      <c r="I7" s="20" t="s">
        <v>83</v>
      </c>
      <c r="J7" s="20" t="s">
        <v>112</v>
      </c>
      <c r="K7" s="21" t="s">
        <v>7</v>
      </c>
      <c r="L7" s="22" t="s">
        <v>267</v>
      </c>
    </row>
  </sheetData>
  <autoFilter ref="A2:L7" xr:uid="{00000000-0009-0000-0000-000006000000}"/>
  <mergeCells count="1">
    <mergeCell ref="A1:L1"/>
  </mergeCells>
  <conditionalFormatting sqref="K3:K8">
    <cfRule type="expression" dxfId="7" priority="1">
      <formula>K3="Pass"</formula>
    </cfRule>
    <cfRule type="expression" dxfId="6" priority="2">
      <formula>K3="Fail"</formula>
    </cfRule>
    <cfRule type="expression" dxfId="5" priority="3">
      <formula>K3="Blocked"</formula>
    </cfRule>
    <cfRule type="expression" dxfId="4" priority="4">
      <formula>K3="Not Run"</formula>
    </cfRule>
  </conditionalFormatting>
  <dataValidations count="4">
    <dataValidation type="list" sqref="K3:K8" xr:uid="{00000000-0002-0000-0600-000000000000}">
      <formula1>"Not Run,Pass,Fail,Blocked"</formula1>
    </dataValidation>
    <dataValidation type="list" sqref="H3:H8" xr:uid="{00000000-0002-0000-0600-000001000000}">
      <formula1>"Critical,High,Medium,Low"</formula1>
    </dataValidation>
    <dataValidation type="list" sqref="I3:I8" xr:uid="{00000000-0002-0000-0600-000002000000}">
      <formula1>"Positive,Negative,Regression,Security,Integration,E2E,Usability"</formula1>
    </dataValidation>
    <dataValidation type="list" sqref="J3:J8" xr:uid="{00000000-0002-0000-0600-000003000000}">
      <formula1>"Yes,Later,No"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
  <sheetViews>
    <sheetView showGridLines="0" workbookViewId="0">
      <pane ySplit="1" topLeftCell="A6" activePane="bottomLeft" state="frozen"/>
      <selection pane="bottomLeft" activeCell="C16" sqref="C16"/>
    </sheetView>
  </sheetViews>
  <sheetFormatPr defaultRowHeight="14.4" x14ac:dyDescent="0.3"/>
  <cols>
    <col min="1" max="1" width="10.33203125" bestFit="1" customWidth="1"/>
    <col min="2" max="2" width="19.6640625" bestFit="1" customWidth="1"/>
    <col min="3" max="3" width="41.44140625" bestFit="1" customWidth="1"/>
    <col min="4" max="4" width="26.88671875" bestFit="1" customWidth="1"/>
    <col min="5" max="5" width="41.6640625" bestFit="1" customWidth="1"/>
    <col min="6" max="6" width="22.33203125" bestFit="1" customWidth="1"/>
    <col min="7" max="7" width="42.77734375" bestFit="1" customWidth="1"/>
    <col min="8" max="8" width="11.77734375" bestFit="1" customWidth="1"/>
    <col min="9" max="9" width="9.5546875" bestFit="1" customWidth="1"/>
    <col min="10" max="10" width="15.6640625" bestFit="1" customWidth="1"/>
    <col min="11" max="11" width="10.6640625" bestFit="1" customWidth="1"/>
    <col min="12" max="12" width="23.21875" bestFit="1" customWidth="1"/>
  </cols>
  <sheetData>
    <row r="1" spans="1:12" x14ac:dyDescent="0.3">
      <c r="A1" s="30" t="s">
        <v>56</v>
      </c>
      <c r="B1" s="28"/>
      <c r="C1" s="28"/>
      <c r="D1" s="28"/>
      <c r="E1" s="28"/>
      <c r="F1" s="28"/>
      <c r="G1" s="28"/>
      <c r="H1" s="28"/>
      <c r="I1" s="28"/>
      <c r="J1" s="28"/>
      <c r="K1" s="28"/>
      <c r="L1" s="28"/>
    </row>
    <row r="2" spans="1:12" ht="28.8" x14ac:dyDescent="0.3">
      <c r="A2" s="6" t="s">
        <v>57</v>
      </c>
      <c r="B2" s="6" t="s">
        <v>24</v>
      </c>
      <c r="C2" s="6" t="s">
        <v>58</v>
      </c>
      <c r="D2" s="6" t="s">
        <v>59</v>
      </c>
      <c r="E2" s="6" t="s">
        <v>60</v>
      </c>
      <c r="F2" s="6" t="s">
        <v>61</v>
      </c>
      <c r="G2" s="6" t="s">
        <v>62</v>
      </c>
      <c r="H2" s="6" t="s">
        <v>63</v>
      </c>
      <c r="I2" s="6" t="s">
        <v>64</v>
      </c>
      <c r="J2" s="6" t="s">
        <v>65</v>
      </c>
      <c r="K2" s="6" t="s">
        <v>44</v>
      </c>
      <c r="L2" s="6" t="s">
        <v>66</v>
      </c>
    </row>
    <row r="3" spans="1:12" ht="57.6" x14ac:dyDescent="0.3">
      <c r="A3" s="19" t="s">
        <v>268</v>
      </c>
      <c r="B3" s="2" t="s">
        <v>40</v>
      </c>
      <c r="C3" s="2" t="s">
        <v>269</v>
      </c>
      <c r="D3" s="2" t="s">
        <v>270</v>
      </c>
      <c r="E3" s="2" t="s">
        <v>271</v>
      </c>
      <c r="F3" s="2" t="s">
        <v>202</v>
      </c>
      <c r="G3" s="2" t="s">
        <v>272</v>
      </c>
      <c r="H3" s="20" t="s">
        <v>73</v>
      </c>
      <c r="I3" s="20" t="s">
        <v>74</v>
      </c>
      <c r="J3" s="20" t="s">
        <v>75</v>
      </c>
      <c r="K3" s="21" t="s">
        <v>7</v>
      </c>
      <c r="L3" s="22" t="s">
        <v>273</v>
      </c>
    </row>
    <row r="4" spans="1:12" ht="28.8" x14ac:dyDescent="0.3">
      <c r="A4" s="19" t="s">
        <v>274</v>
      </c>
      <c r="B4" s="2" t="s">
        <v>40</v>
      </c>
      <c r="C4" s="2" t="s">
        <v>275</v>
      </c>
      <c r="D4" s="2" t="s">
        <v>276</v>
      </c>
      <c r="E4" s="2" t="s">
        <v>277</v>
      </c>
      <c r="F4" s="2" t="s">
        <v>278</v>
      </c>
      <c r="G4" s="2" t="s">
        <v>279</v>
      </c>
      <c r="H4" s="20" t="s">
        <v>73</v>
      </c>
      <c r="I4" s="20" t="s">
        <v>83</v>
      </c>
      <c r="J4" s="20" t="s">
        <v>75</v>
      </c>
      <c r="K4" s="21" t="s">
        <v>7</v>
      </c>
      <c r="L4" s="22" t="s">
        <v>280</v>
      </c>
    </row>
    <row r="5" spans="1:12" ht="57.6" x14ac:dyDescent="0.3">
      <c r="A5" s="19" t="s">
        <v>281</v>
      </c>
      <c r="B5" s="2" t="s">
        <v>40</v>
      </c>
      <c r="C5" s="2" t="s">
        <v>282</v>
      </c>
      <c r="D5" s="2" t="s">
        <v>283</v>
      </c>
      <c r="E5" s="2" t="s">
        <v>284</v>
      </c>
      <c r="F5" s="2" t="s">
        <v>285</v>
      </c>
      <c r="G5" s="2" t="s">
        <v>286</v>
      </c>
      <c r="H5" s="20" t="s">
        <v>73</v>
      </c>
      <c r="I5" s="20" t="s">
        <v>83</v>
      </c>
      <c r="J5" s="20" t="s">
        <v>75</v>
      </c>
      <c r="K5" s="21" t="s">
        <v>7</v>
      </c>
      <c r="L5" s="22" t="s">
        <v>287</v>
      </c>
    </row>
    <row r="6" spans="1:12" ht="43.2" x14ac:dyDescent="0.3">
      <c r="A6" s="19" t="s">
        <v>288</v>
      </c>
      <c r="B6" s="2" t="s">
        <v>40</v>
      </c>
      <c r="C6" s="2" t="s">
        <v>289</v>
      </c>
      <c r="D6" s="2" t="s">
        <v>290</v>
      </c>
      <c r="E6" s="2" t="s">
        <v>291</v>
      </c>
      <c r="F6" s="2" t="s">
        <v>292</v>
      </c>
      <c r="G6" s="2" t="s">
        <v>293</v>
      </c>
      <c r="H6" s="20" t="s">
        <v>9</v>
      </c>
      <c r="I6" s="20" t="s">
        <v>91</v>
      </c>
      <c r="J6" s="20" t="s">
        <v>75</v>
      </c>
      <c r="K6" s="21" t="s">
        <v>7</v>
      </c>
      <c r="L6" s="22" t="s">
        <v>294</v>
      </c>
    </row>
    <row r="7" spans="1:12" ht="28.8" x14ac:dyDescent="0.3">
      <c r="A7" s="19" t="s">
        <v>295</v>
      </c>
      <c r="B7" s="2" t="s">
        <v>40</v>
      </c>
      <c r="C7" s="2" t="s">
        <v>296</v>
      </c>
      <c r="D7" s="2" t="s">
        <v>297</v>
      </c>
      <c r="E7" s="2" t="s">
        <v>298</v>
      </c>
      <c r="F7" s="2" t="s">
        <v>299</v>
      </c>
      <c r="G7" s="2" t="s">
        <v>300</v>
      </c>
      <c r="H7" s="20" t="s">
        <v>73</v>
      </c>
      <c r="I7" s="20" t="s">
        <v>74</v>
      </c>
      <c r="J7" s="20" t="s">
        <v>75</v>
      </c>
      <c r="K7" s="21" t="s">
        <v>7</v>
      </c>
      <c r="L7" s="22" t="s">
        <v>301</v>
      </c>
    </row>
    <row r="8" spans="1:12" ht="43.2" x14ac:dyDescent="0.3">
      <c r="A8" s="19" t="s">
        <v>302</v>
      </c>
      <c r="B8" s="2" t="s">
        <v>40</v>
      </c>
      <c r="C8" s="2" t="s">
        <v>303</v>
      </c>
      <c r="D8" s="2" t="s">
        <v>304</v>
      </c>
      <c r="E8" s="2" t="s">
        <v>305</v>
      </c>
      <c r="F8" s="2" t="s">
        <v>202</v>
      </c>
      <c r="G8" s="2" t="s">
        <v>306</v>
      </c>
      <c r="H8" s="20" t="s">
        <v>9</v>
      </c>
      <c r="I8" s="20" t="s">
        <v>74</v>
      </c>
      <c r="J8" s="20" t="s">
        <v>75</v>
      </c>
      <c r="K8" s="21" t="s">
        <v>7</v>
      </c>
      <c r="L8" s="22" t="s">
        <v>307</v>
      </c>
    </row>
  </sheetData>
  <autoFilter ref="A2:L8" xr:uid="{00000000-0009-0000-0000-000007000000}"/>
  <mergeCells count="1">
    <mergeCell ref="A1:L1"/>
  </mergeCells>
  <conditionalFormatting sqref="K3:K8">
    <cfRule type="expression" dxfId="3" priority="1">
      <formula>K3="Pass"</formula>
    </cfRule>
    <cfRule type="expression" dxfId="2" priority="2">
      <formula>K3="Fail"</formula>
    </cfRule>
    <cfRule type="expression" dxfId="1" priority="3">
      <formula>K3="Blocked"</formula>
    </cfRule>
    <cfRule type="expression" dxfId="0" priority="4">
      <formula>K3="Not Run"</formula>
    </cfRule>
  </conditionalFormatting>
  <dataValidations count="4">
    <dataValidation type="list" sqref="K3:K8" xr:uid="{00000000-0002-0000-0700-000000000000}">
      <formula1>"Not Run,Pass,Fail,Blocked"</formula1>
    </dataValidation>
    <dataValidation type="list" sqref="H3:H8" xr:uid="{00000000-0002-0000-0700-000001000000}">
      <formula1>"Critical,High,Medium,Low"</formula1>
    </dataValidation>
    <dataValidation type="list" sqref="I3:I8" xr:uid="{00000000-0002-0000-0700-000002000000}">
      <formula1>"Positive,Negative,Regression,Security,Integration,E2E,Usability"</formula1>
    </dataValidation>
    <dataValidation type="list" sqref="J3:J8" xr:uid="{00000000-0002-0000-0700-000003000000}">
      <formula1>"Yes,Later,No"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
  <sheetViews>
    <sheetView workbookViewId="0">
      <selection sqref="A1:XFD1048576"/>
    </sheetView>
  </sheetViews>
  <sheetFormatPr defaultRowHeight="14.4" x14ac:dyDescent="0.3"/>
  <cols>
    <col min="1" max="1" width="11.6640625" bestFit="1" customWidth="1"/>
    <col min="2" max="2" width="21.5546875" bestFit="1" customWidth="1"/>
    <col min="3" max="3" width="41.77734375" bestFit="1" customWidth="1"/>
    <col min="4" max="4" width="28" customWidth="1"/>
    <col min="5" max="5" width="11.77734375" bestFit="1" customWidth="1"/>
    <col min="6" max="6" width="19.33203125" bestFit="1" customWidth="1"/>
    <col min="7" max="7" width="27.88671875" bestFit="1" customWidth="1"/>
    <col min="8" max="8" width="11.21875" bestFit="1" customWidth="1"/>
    <col min="9" max="9" width="14" bestFit="1" customWidth="1"/>
    <col min="10" max="10" width="20" hidden="1" customWidth="1"/>
    <col min="11" max="11" width="12" hidden="1" customWidth="1"/>
    <col min="12" max="12" width="24" hidden="1" customWidth="1"/>
  </cols>
  <sheetData>
    <row r="1" spans="1:12" x14ac:dyDescent="0.3">
      <c r="A1" s="30" t="s">
        <v>308</v>
      </c>
      <c r="B1" s="28"/>
      <c r="C1" s="28"/>
      <c r="D1" s="28"/>
      <c r="E1" s="28"/>
      <c r="F1" s="28"/>
      <c r="G1" s="28"/>
      <c r="H1" s="28"/>
      <c r="I1" s="28"/>
      <c r="J1" s="28"/>
      <c r="K1" s="28"/>
      <c r="L1" s="28"/>
    </row>
    <row r="2" spans="1:12" x14ac:dyDescent="0.3">
      <c r="A2" s="6" t="s">
        <v>309</v>
      </c>
      <c r="B2" s="6" t="s">
        <v>310</v>
      </c>
      <c r="C2" s="6" t="s">
        <v>311</v>
      </c>
      <c r="D2" s="6" t="s">
        <v>312</v>
      </c>
      <c r="E2" s="6" t="s">
        <v>63</v>
      </c>
      <c r="F2" s="6" t="s">
        <v>313</v>
      </c>
      <c r="G2" s="6" t="s">
        <v>66</v>
      </c>
      <c r="H2" s="6" t="s">
        <v>314</v>
      </c>
      <c r="I2" s="6" t="s">
        <v>315</v>
      </c>
      <c r="J2" s="6"/>
      <c r="K2" s="6"/>
      <c r="L2" s="6"/>
    </row>
    <row r="3" spans="1:12" ht="28.8" x14ac:dyDescent="0.3">
      <c r="A3" s="19" t="s">
        <v>316</v>
      </c>
      <c r="B3" s="2" t="s">
        <v>317</v>
      </c>
      <c r="C3" s="2" t="s">
        <v>318</v>
      </c>
      <c r="D3" s="2" t="s">
        <v>319</v>
      </c>
      <c r="E3" s="2" t="s">
        <v>73</v>
      </c>
      <c r="F3" s="2" t="s">
        <v>320</v>
      </c>
      <c r="G3" s="2" t="s">
        <v>321</v>
      </c>
      <c r="H3" s="20" t="s">
        <v>322</v>
      </c>
      <c r="I3" s="20" t="s">
        <v>75</v>
      </c>
      <c r="J3" s="20"/>
      <c r="K3" s="21"/>
      <c r="L3" s="22"/>
    </row>
    <row r="4" spans="1:12" ht="28.8" x14ac:dyDescent="0.3">
      <c r="A4" s="19" t="s">
        <v>323</v>
      </c>
      <c r="B4" s="2" t="s">
        <v>324</v>
      </c>
      <c r="C4" s="2" t="s">
        <v>325</v>
      </c>
      <c r="D4" s="2" t="s">
        <v>326</v>
      </c>
      <c r="E4" s="2" t="s">
        <v>9</v>
      </c>
      <c r="F4" s="2" t="s">
        <v>320</v>
      </c>
      <c r="G4" s="2" t="s">
        <v>327</v>
      </c>
      <c r="H4" s="20" t="s">
        <v>322</v>
      </c>
      <c r="I4" s="20" t="s">
        <v>75</v>
      </c>
      <c r="J4" s="20"/>
      <c r="K4" s="21"/>
      <c r="L4" s="22"/>
    </row>
    <row r="5" spans="1:12" ht="28.8" x14ac:dyDescent="0.3">
      <c r="A5" s="19" t="s">
        <v>328</v>
      </c>
      <c r="B5" s="2" t="s">
        <v>329</v>
      </c>
      <c r="C5" s="2" t="s">
        <v>330</v>
      </c>
      <c r="D5" s="2" t="s">
        <v>331</v>
      </c>
      <c r="E5" s="2" t="s">
        <v>73</v>
      </c>
      <c r="F5" s="2" t="s">
        <v>320</v>
      </c>
      <c r="G5" s="2" t="s">
        <v>332</v>
      </c>
      <c r="H5" s="20" t="s">
        <v>322</v>
      </c>
      <c r="I5" s="20" t="s">
        <v>75</v>
      </c>
      <c r="J5" s="20"/>
      <c r="K5" s="21"/>
      <c r="L5" s="22"/>
    </row>
    <row r="6" spans="1:12" ht="28.8" x14ac:dyDescent="0.3">
      <c r="A6" s="19" t="s">
        <v>333</v>
      </c>
      <c r="B6" s="2" t="s">
        <v>334</v>
      </c>
      <c r="C6" s="2" t="s">
        <v>335</v>
      </c>
      <c r="D6" s="2" t="s">
        <v>336</v>
      </c>
      <c r="E6" s="2" t="s">
        <v>73</v>
      </c>
      <c r="F6" s="2" t="s">
        <v>320</v>
      </c>
      <c r="G6" s="2" t="s">
        <v>337</v>
      </c>
      <c r="H6" s="20" t="s">
        <v>322</v>
      </c>
      <c r="I6" s="20" t="s">
        <v>75</v>
      </c>
      <c r="J6" s="20"/>
      <c r="K6" s="21"/>
      <c r="L6" s="22"/>
    </row>
    <row r="7" spans="1:12" ht="28.8" x14ac:dyDescent="0.3">
      <c r="A7" s="19" t="s">
        <v>338</v>
      </c>
      <c r="B7" s="2" t="s">
        <v>339</v>
      </c>
      <c r="C7" s="2" t="s">
        <v>340</v>
      </c>
      <c r="D7" s="2" t="s">
        <v>341</v>
      </c>
      <c r="E7" s="2" t="s">
        <v>73</v>
      </c>
      <c r="F7" s="2" t="s">
        <v>320</v>
      </c>
      <c r="G7" s="2" t="s">
        <v>342</v>
      </c>
      <c r="H7" s="20" t="s">
        <v>322</v>
      </c>
      <c r="I7" s="20" t="s">
        <v>75</v>
      </c>
      <c r="J7" s="20"/>
      <c r="K7" s="21"/>
      <c r="L7" s="22"/>
    </row>
    <row r="8" spans="1:12" ht="28.8" x14ac:dyDescent="0.3">
      <c r="A8" s="19" t="s">
        <v>343</v>
      </c>
      <c r="B8" s="2" t="s">
        <v>344</v>
      </c>
      <c r="C8" s="2" t="s">
        <v>345</v>
      </c>
      <c r="D8" s="2" t="s">
        <v>346</v>
      </c>
      <c r="E8" s="2" t="s">
        <v>9</v>
      </c>
      <c r="F8" s="2" t="s">
        <v>320</v>
      </c>
      <c r="G8" s="2" t="s">
        <v>347</v>
      </c>
      <c r="H8" s="20" t="s">
        <v>322</v>
      </c>
      <c r="I8" s="20" t="s">
        <v>75</v>
      </c>
      <c r="J8" s="20"/>
      <c r="K8" s="21"/>
      <c r="L8" s="22"/>
    </row>
    <row r="9" spans="1:12" ht="28.8" x14ac:dyDescent="0.3">
      <c r="A9" s="19" t="s">
        <v>348</v>
      </c>
      <c r="B9" s="2" t="s">
        <v>349</v>
      </c>
      <c r="C9" s="2" t="s">
        <v>350</v>
      </c>
      <c r="D9" s="2" t="s">
        <v>351</v>
      </c>
      <c r="E9" s="2" t="s">
        <v>73</v>
      </c>
      <c r="F9" s="2" t="s">
        <v>320</v>
      </c>
      <c r="G9" s="2" t="s">
        <v>352</v>
      </c>
      <c r="H9" s="20" t="s">
        <v>322</v>
      </c>
      <c r="I9" s="20" t="s">
        <v>75</v>
      </c>
      <c r="J9" s="20"/>
      <c r="K9" s="21"/>
      <c r="L9" s="22"/>
    </row>
    <row r="10" spans="1:12" ht="28.8" x14ac:dyDescent="0.3">
      <c r="A10" s="19" t="s">
        <v>353</v>
      </c>
      <c r="B10" s="2" t="s">
        <v>354</v>
      </c>
      <c r="C10" s="2" t="s">
        <v>355</v>
      </c>
      <c r="D10" s="2" t="s">
        <v>356</v>
      </c>
      <c r="E10" s="2" t="s">
        <v>9</v>
      </c>
      <c r="F10" s="2" t="s">
        <v>320</v>
      </c>
      <c r="G10" s="2" t="s">
        <v>357</v>
      </c>
      <c r="H10" s="20" t="s">
        <v>322</v>
      </c>
      <c r="I10" s="20" t="s">
        <v>75</v>
      </c>
      <c r="J10" s="20"/>
      <c r="K10" s="21"/>
      <c r="L10" s="22"/>
    </row>
  </sheetData>
  <autoFilter ref="A2:I10" xr:uid="{00000000-0009-0000-0000-000008000000}"/>
  <mergeCells count="1">
    <mergeCell ref="A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3"/>
  <sheetViews>
    <sheetView tabSelected="1" workbookViewId="0">
      <selection activeCell="D18" sqref="D18"/>
    </sheetView>
  </sheetViews>
  <sheetFormatPr defaultRowHeight="14.4" x14ac:dyDescent="0.3"/>
  <cols>
    <col min="1" max="1" width="10.33203125" bestFit="1" customWidth="1"/>
    <col min="2" max="2" width="40.5546875" bestFit="1" customWidth="1"/>
    <col min="3" max="3" width="20.77734375" bestFit="1" customWidth="1"/>
    <col min="4" max="4" width="23.6640625" bestFit="1" customWidth="1"/>
    <col min="5" max="5" width="11.77734375" bestFit="1" customWidth="1"/>
    <col min="6" max="6" width="29.5546875" bestFit="1" customWidth="1"/>
    <col min="7" max="7" width="10.6640625" bestFit="1" customWidth="1"/>
    <col min="8" max="8" width="23.5546875" bestFit="1" customWidth="1"/>
    <col min="9" max="9" width="14" hidden="1" customWidth="1"/>
    <col min="10" max="10" width="20" hidden="1" customWidth="1"/>
    <col min="11" max="11" width="12" hidden="1" customWidth="1"/>
    <col min="12" max="12" width="24" hidden="1" customWidth="1"/>
  </cols>
  <sheetData>
    <row r="1" spans="1:12" x14ac:dyDescent="0.3">
      <c r="A1" s="30" t="s">
        <v>358</v>
      </c>
      <c r="B1" s="28"/>
      <c r="C1" s="28"/>
      <c r="D1" s="28"/>
      <c r="E1" s="28"/>
      <c r="F1" s="28"/>
      <c r="G1" s="28"/>
      <c r="H1" s="28"/>
      <c r="I1" s="28"/>
      <c r="J1" s="28"/>
      <c r="K1" s="28"/>
      <c r="L1" s="28"/>
    </row>
    <row r="2" spans="1:12" x14ac:dyDescent="0.3">
      <c r="A2" s="6" t="s">
        <v>57</v>
      </c>
      <c r="B2" s="6" t="s">
        <v>58</v>
      </c>
      <c r="C2" s="6" t="s">
        <v>359</v>
      </c>
      <c r="D2" s="6" t="s">
        <v>360</v>
      </c>
      <c r="E2" s="6" t="s">
        <v>63</v>
      </c>
      <c r="F2" s="6" t="s">
        <v>361</v>
      </c>
      <c r="G2" s="6" t="s">
        <v>44</v>
      </c>
      <c r="H2" s="6" t="s">
        <v>66</v>
      </c>
      <c r="I2" s="6"/>
      <c r="J2" s="6"/>
      <c r="K2" s="6"/>
      <c r="L2" s="6"/>
    </row>
    <row r="3" spans="1:12" ht="28.8" x14ac:dyDescent="0.3">
      <c r="A3" s="19" t="s">
        <v>67</v>
      </c>
      <c r="B3" s="2" t="s">
        <v>362</v>
      </c>
      <c r="C3" s="2" t="s">
        <v>363</v>
      </c>
      <c r="D3" s="2" t="s">
        <v>364</v>
      </c>
      <c r="E3" s="2" t="s">
        <v>73</v>
      </c>
      <c r="F3" s="2" t="s">
        <v>365</v>
      </c>
      <c r="G3" s="2" t="s">
        <v>366</v>
      </c>
      <c r="H3" s="20" t="s">
        <v>367</v>
      </c>
      <c r="I3" s="20"/>
      <c r="J3" s="20"/>
      <c r="K3" s="21"/>
      <c r="L3" s="22"/>
    </row>
    <row r="4" spans="1:12" ht="28.8" x14ac:dyDescent="0.3">
      <c r="A4" s="19" t="s">
        <v>85</v>
      </c>
      <c r="B4" s="2" t="s">
        <v>368</v>
      </c>
      <c r="C4" s="2" t="s">
        <v>369</v>
      </c>
      <c r="D4" s="2" t="s">
        <v>370</v>
      </c>
      <c r="E4" s="2" t="s">
        <v>73</v>
      </c>
      <c r="F4" s="2" t="s">
        <v>371</v>
      </c>
      <c r="G4" s="2" t="s">
        <v>366</v>
      </c>
      <c r="H4" s="20" t="s">
        <v>372</v>
      </c>
      <c r="I4" s="20"/>
      <c r="J4" s="20"/>
      <c r="K4" s="21"/>
      <c r="L4" s="22"/>
    </row>
    <row r="5" spans="1:12" ht="28.8" x14ac:dyDescent="0.3">
      <c r="A5" s="19" t="s">
        <v>114</v>
      </c>
      <c r="B5" s="2" t="s">
        <v>373</v>
      </c>
      <c r="C5" s="2" t="s">
        <v>369</v>
      </c>
      <c r="D5" s="2" t="s">
        <v>374</v>
      </c>
      <c r="E5" s="2" t="s">
        <v>73</v>
      </c>
      <c r="F5" s="2" t="s">
        <v>375</v>
      </c>
      <c r="G5" s="2" t="s">
        <v>366</v>
      </c>
      <c r="H5" s="20" t="s">
        <v>120</v>
      </c>
      <c r="I5" s="20"/>
      <c r="J5" s="20"/>
      <c r="K5" s="21"/>
      <c r="L5" s="22"/>
    </row>
    <row r="6" spans="1:12" ht="28.8" x14ac:dyDescent="0.3">
      <c r="A6" s="19" t="s">
        <v>128</v>
      </c>
      <c r="B6" s="2" t="s">
        <v>376</v>
      </c>
      <c r="C6" s="2" t="s">
        <v>369</v>
      </c>
      <c r="D6" s="2" t="s">
        <v>377</v>
      </c>
      <c r="E6" s="2" t="s">
        <v>73</v>
      </c>
      <c r="F6" s="2" t="s">
        <v>378</v>
      </c>
      <c r="G6" s="2" t="s">
        <v>366</v>
      </c>
      <c r="H6" s="20" t="s">
        <v>379</v>
      </c>
      <c r="I6" s="20"/>
      <c r="J6" s="20"/>
      <c r="K6" s="21"/>
      <c r="L6" s="22"/>
    </row>
    <row r="7" spans="1:12" ht="28.8" x14ac:dyDescent="0.3">
      <c r="A7" s="19" t="s">
        <v>157</v>
      </c>
      <c r="B7" s="2" t="s">
        <v>380</v>
      </c>
      <c r="C7" s="2" t="s">
        <v>369</v>
      </c>
      <c r="D7" s="2" t="s">
        <v>381</v>
      </c>
      <c r="E7" s="2" t="s">
        <v>73</v>
      </c>
      <c r="F7" s="2" t="s">
        <v>382</v>
      </c>
      <c r="G7" s="2" t="s">
        <v>366</v>
      </c>
      <c r="H7" s="20" t="s">
        <v>383</v>
      </c>
      <c r="I7" s="20"/>
      <c r="J7" s="20"/>
      <c r="K7" s="21"/>
      <c r="L7" s="22"/>
    </row>
    <row r="8" spans="1:12" ht="28.8" x14ac:dyDescent="0.3">
      <c r="A8" s="19" t="s">
        <v>212</v>
      </c>
      <c r="B8" s="2" t="s">
        <v>384</v>
      </c>
      <c r="C8" s="2" t="s">
        <v>349</v>
      </c>
      <c r="D8" s="2" t="s">
        <v>385</v>
      </c>
      <c r="E8" s="2" t="s">
        <v>9</v>
      </c>
      <c r="F8" s="2" t="s">
        <v>386</v>
      </c>
      <c r="G8" s="2" t="s">
        <v>366</v>
      </c>
      <c r="H8" s="20" t="s">
        <v>387</v>
      </c>
      <c r="I8" s="20"/>
      <c r="J8" s="20"/>
      <c r="K8" s="21"/>
      <c r="L8" s="22"/>
    </row>
    <row r="9" spans="1:12" ht="28.8" x14ac:dyDescent="0.3">
      <c r="A9" s="19" t="s">
        <v>233</v>
      </c>
      <c r="B9" s="2" t="s">
        <v>388</v>
      </c>
      <c r="C9" s="2" t="s">
        <v>389</v>
      </c>
      <c r="D9" s="2" t="s">
        <v>390</v>
      </c>
      <c r="E9" s="2" t="s">
        <v>73</v>
      </c>
      <c r="F9" s="2" t="s">
        <v>391</v>
      </c>
      <c r="G9" s="2" t="s">
        <v>366</v>
      </c>
      <c r="H9" s="20" t="s">
        <v>392</v>
      </c>
      <c r="I9" s="20"/>
      <c r="J9" s="20"/>
      <c r="K9" s="21"/>
      <c r="L9" s="22"/>
    </row>
    <row r="10" spans="1:12" ht="28.8" x14ac:dyDescent="0.3">
      <c r="A10" s="19" t="s">
        <v>247</v>
      </c>
      <c r="B10" s="2" t="s">
        <v>393</v>
      </c>
      <c r="C10" s="2" t="s">
        <v>349</v>
      </c>
      <c r="D10" s="2" t="s">
        <v>394</v>
      </c>
      <c r="E10" s="2" t="s">
        <v>9</v>
      </c>
      <c r="F10" s="2" t="s">
        <v>395</v>
      </c>
      <c r="G10" s="2" t="s">
        <v>396</v>
      </c>
      <c r="H10" s="20" t="s">
        <v>397</v>
      </c>
      <c r="I10" s="20"/>
      <c r="J10" s="20"/>
      <c r="K10" s="21"/>
      <c r="L10" s="22"/>
    </row>
    <row r="11" spans="1:12" ht="28.8" x14ac:dyDescent="0.3">
      <c r="A11" s="19" t="s">
        <v>268</v>
      </c>
      <c r="B11" s="2" t="s">
        <v>398</v>
      </c>
      <c r="C11" s="2" t="s">
        <v>399</v>
      </c>
      <c r="D11" s="2" t="s">
        <v>364</v>
      </c>
      <c r="E11" s="2" t="s">
        <v>73</v>
      </c>
      <c r="F11" s="2" t="s">
        <v>400</v>
      </c>
      <c r="G11" s="2" t="s">
        <v>366</v>
      </c>
      <c r="H11" s="20" t="s">
        <v>401</v>
      </c>
      <c r="I11" s="20"/>
      <c r="J11" s="20"/>
      <c r="K11" s="21"/>
      <c r="L11" s="22"/>
    </row>
    <row r="12" spans="1:12" ht="28.8" x14ac:dyDescent="0.3">
      <c r="A12" s="19" t="s">
        <v>288</v>
      </c>
      <c r="B12" s="2" t="s">
        <v>402</v>
      </c>
      <c r="C12" s="2" t="s">
        <v>399</v>
      </c>
      <c r="D12" s="2" t="s">
        <v>403</v>
      </c>
      <c r="E12" s="2" t="s">
        <v>9</v>
      </c>
      <c r="F12" s="2" t="s">
        <v>404</v>
      </c>
      <c r="G12" s="2" t="s">
        <v>366</v>
      </c>
      <c r="H12" s="20" t="s">
        <v>405</v>
      </c>
      <c r="I12" s="20"/>
      <c r="J12" s="20"/>
      <c r="K12" s="21"/>
      <c r="L12" s="22"/>
    </row>
    <row r="13" spans="1:12" ht="28.8" x14ac:dyDescent="0.3">
      <c r="A13" s="19" t="s">
        <v>295</v>
      </c>
      <c r="B13" s="2" t="s">
        <v>296</v>
      </c>
      <c r="C13" s="2" t="s">
        <v>406</v>
      </c>
      <c r="D13" s="2" t="s">
        <v>407</v>
      </c>
      <c r="E13" s="2" t="s">
        <v>73</v>
      </c>
      <c r="F13" s="2" t="s">
        <v>408</v>
      </c>
      <c r="G13" s="2" t="s">
        <v>366</v>
      </c>
      <c r="H13" s="20" t="s">
        <v>409</v>
      </c>
      <c r="I13" s="20"/>
      <c r="J13" s="20"/>
      <c r="K13" s="21"/>
      <c r="L13" s="22"/>
    </row>
  </sheetData>
  <autoFilter ref="A2:H13" xr:uid="{00000000-0009-0000-0000-000009000000}"/>
  <mergeCells count="1">
    <mergeCell ref="A1:L1"/>
  </mergeCells>
  <pageMargins left="0.7" right="0.7" top="0.75" bottom="0.75" header="0.3" footer="0.3"/>
</worksheet>
</file>

<file path=docMetadata/LabelInfo.xml><?xml version="1.0" encoding="utf-8"?>
<clbl:labelList xmlns:clbl="http://schemas.microsoft.com/office/2020/mipLabelMetadata">
  <clbl:label id="{8d2d5684-10a2-4364-952f-c78858d41697}" enabled="1" method="Standard" siteId="{4a3454a0-8cf4-4a9c-b1c0-6ce4d1495f8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Summary</vt:lpstr>
      <vt:lpstr>10_Order_Service</vt:lpstr>
      <vt:lpstr>20_Payment_Service</vt:lpstr>
      <vt:lpstr>30_Inventory_Service</vt:lpstr>
      <vt:lpstr>40_Notification_Service</vt:lpstr>
      <vt:lpstr>50_Error_Handling_Resilience</vt:lpstr>
      <vt:lpstr>60_E2E_Event_Flow</vt:lpstr>
      <vt:lpstr>70_RTM</vt:lpstr>
      <vt:lpstr>80_Automation_Map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 Ramon Jr</cp:lastModifiedBy>
  <dcterms:created xsi:type="dcterms:W3CDTF">2026-04-06T07:08:29Z</dcterms:created>
  <dcterms:modified xsi:type="dcterms:W3CDTF">2026-04-06T07:15:49Z</dcterms:modified>
</cp:coreProperties>
</file>